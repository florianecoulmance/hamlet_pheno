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/Users/opu/Documents/Hypoplectrus/Phenotypic_variation/Revisions/"/>
    </mc:Choice>
  </mc:AlternateContent>
  <xr:revisionPtr revIDLastSave="0" documentId="13_ncr:1_{2B494C66-64DF-5B47-AF11-30128FC1595D}" xr6:coauthVersionLast="36" xr6:coauthVersionMax="36" xr10:uidLastSave="{00000000-0000-0000-0000-000000000000}"/>
  <bookViews>
    <workbookView xWindow="0" yWindow="500" windowWidth="32000" windowHeight="17500" tabRatio="500" xr2:uid="{00000000-000D-0000-FFFF-FFFF00000000}"/>
  </bookViews>
  <sheets>
    <sheet name="Sheet1" sheetId="2" r:id="rId1"/>
  </sheets>
  <definedNames>
    <definedName name="_xlnm.Print_Area" localSheetId="0">Sheet1!$A$1:$L$47</definedName>
  </definedNames>
  <calcPr calcId="181029" concurrentCalc="0"/>
</workbook>
</file>

<file path=xl/calcChain.xml><?xml version="1.0" encoding="utf-8"?>
<calcChain xmlns="http://schemas.openxmlformats.org/spreadsheetml/2006/main">
  <c r="L44" i="2" l="1"/>
  <c r="L20" i="2"/>
  <c r="L43" i="2"/>
  <c r="L16" i="2"/>
  <c r="L42" i="2"/>
  <c r="L15" i="2"/>
  <c r="L41" i="2"/>
  <c r="L13" i="2"/>
  <c r="L40" i="2"/>
  <c r="L14" i="2"/>
  <c r="L39" i="2"/>
  <c r="L12" i="2"/>
  <c r="L38" i="2"/>
  <c r="L11" i="2"/>
  <c r="L45" i="2"/>
  <c r="K45" i="2"/>
  <c r="J45" i="2"/>
  <c r="I45" i="2"/>
  <c r="H45" i="2"/>
  <c r="G45" i="2"/>
  <c r="F45" i="2"/>
  <c r="E45" i="2"/>
  <c r="D45" i="2"/>
  <c r="C45" i="2"/>
  <c r="L17" i="2"/>
  <c r="L18" i="2"/>
  <c r="L19" i="2"/>
  <c r="L21" i="2"/>
  <c r="L22" i="2"/>
  <c r="L26" i="2"/>
  <c r="L27" i="2"/>
  <c r="L28" i="2"/>
  <c r="L29" i="2"/>
  <c r="L30" i="2"/>
  <c r="L31" i="2"/>
  <c r="L32" i="2"/>
  <c r="L33" i="2"/>
  <c r="L49" i="2"/>
  <c r="L34" i="2"/>
  <c r="K33" i="2"/>
  <c r="K22" i="2"/>
  <c r="K34" i="2"/>
  <c r="J33" i="2"/>
  <c r="J22" i="2"/>
  <c r="J34" i="2"/>
  <c r="I33" i="2"/>
  <c r="I22" i="2"/>
  <c r="I34" i="2"/>
  <c r="H33" i="2"/>
  <c r="H22" i="2"/>
  <c r="H34" i="2"/>
  <c r="G33" i="2"/>
  <c r="G22" i="2"/>
  <c r="G34" i="2"/>
  <c r="F33" i="2"/>
  <c r="F22" i="2"/>
  <c r="F34" i="2"/>
  <c r="E33" i="2"/>
  <c r="E22" i="2"/>
  <c r="E34" i="2"/>
  <c r="D33" i="2"/>
  <c r="D22" i="2"/>
  <c r="D34" i="2"/>
  <c r="C33" i="2"/>
  <c r="C22" i="2"/>
  <c r="C34" i="2"/>
</calcChain>
</file>

<file path=xl/sharedStrings.xml><?xml version="1.0" encoding="utf-8"?>
<sst xmlns="http://schemas.openxmlformats.org/spreadsheetml/2006/main" count="98" uniqueCount="44">
  <si>
    <t>H. puella</t>
  </si>
  <si>
    <t>H. nigricans</t>
  </si>
  <si>
    <t>H. aberrans</t>
  </si>
  <si>
    <t>H. unicolor</t>
  </si>
  <si>
    <t>H. indigo</t>
  </si>
  <si>
    <t>H. chlorurus</t>
  </si>
  <si>
    <t>Total</t>
  </si>
  <si>
    <t>Bocas del Toro</t>
  </si>
  <si>
    <t>H. indigo</t>
    <phoneticPr fontId="1" type="noConversion"/>
  </si>
  <si>
    <t>Panama</t>
  </si>
  <si>
    <t>Utila</t>
    <phoneticPr fontId="1" type="noConversion"/>
  </si>
  <si>
    <t>Guanaja</t>
    <phoneticPr fontId="1" type="noConversion"/>
  </si>
  <si>
    <t>Half-moon Cay</t>
    <phoneticPr fontId="1" type="noConversion"/>
  </si>
  <si>
    <t>Carrie Bow Cay</t>
    <phoneticPr fontId="1" type="noConversion"/>
  </si>
  <si>
    <t>Bank reef</t>
    <phoneticPr fontId="1" type="noConversion"/>
  </si>
  <si>
    <t>Honduras</t>
    <phoneticPr fontId="1" type="noConversion"/>
  </si>
  <si>
    <t>Belize</t>
    <phoneticPr fontId="1" type="noConversion"/>
  </si>
  <si>
    <t>Panama</t>
    <phoneticPr fontId="1" type="noConversion"/>
  </si>
  <si>
    <t>Barbados</t>
    <phoneticPr fontId="1" type="noConversion"/>
  </si>
  <si>
    <t>Total</t>
    <phoneticPr fontId="1" type="noConversion"/>
  </si>
  <si>
    <t>Assortative</t>
    <phoneticPr fontId="1" type="noConversion"/>
  </si>
  <si>
    <r>
      <t xml:space="preserve">Puebla </t>
    </r>
    <r>
      <rPr>
        <i/>
        <sz val="10"/>
        <rFont val="Arial"/>
        <family val="2"/>
      </rPr>
      <t>et al.</t>
    </r>
    <r>
      <rPr>
        <sz val="10"/>
        <rFont val="Arial"/>
        <family val="2"/>
      </rPr>
      <t xml:space="preserve"> (2007)</t>
    </r>
  </si>
  <si>
    <r>
      <t xml:space="preserve">Puebla </t>
    </r>
    <r>
      <rPr>
        <i/>
        <sz val="10"/>
        <rFont val="Arial"/>
        <family val="2"/>
      </rPr>
      <t>et al.</t>
    </r>
    <r>
      <rPr>
        <sz val="10"/>
        <rFont val="Arial"/>
        <family val="2"/>
      </rPr>
      <t xml:space="preserve"> (2011)</t>
    </r>
  </si>
  <si>
    <t>Guna Yala</t>
  </si>
  <si>
    <t>Jamaica/Panama</t>
  </si>
  <si>
    <t>Discovery Bay/Guna Yala</t>
  </si>
  <si>
    <t>Fisher (1980)</t>
  </si>
  <si>
    <t>H. guttavarius</t>
  </si>
  <si>
    <t>H. affinis</t>
  </si>
  <si>
    <t>Florida Keys</t>
  </si>
  <si>
    <t>Key Largo/Long Key</t>
  </si>
  <si>
    <t>H. gemma</t>
  </si>
  <si>
    <t>Tan hamlet</t>
  </si>
  <si>
    <t>Hypoplectrus sp.</t>
  </si>
  <si>
    <t>Transects</t>
  </si>
  <si>
    <t>Yes</t>
  </si>
  <si>
    <t>%</t>
  </si>
  <si>
    <t>11 species</t>
  </si>
  <si>
    <t>9 locatios</t>
  </si>
  <si>
    <t>Pairings</t>
  </si>
  <si>
    <t>Spawnnings</t>
  </si>
  <si>
    <t>Mixed (per pair)</t>
  </si>
  <si>
    <t>Barreto &amp; McCartney (2008)</t>
  </si>
  <si>
    <t>Mixed (per species)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</si>
</sst>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0"/>
      <name val="Verdana"/>
    </font>
    <font>
      <sz val="8"/>
      <name val="Verdana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4" fillId="0" borderId="0" xfId="0" applyFont="1" applyBorder="1" applyAlignment="1">
      <alignment horizontal="center"/>
    </xf>
    <xf numFmtId="0" fontId="3" fillId="0" borderId="0" xfId="0" applyFont="1" applyBorder="1" applyAlignment="1">
      <alignment horizontal="left"/>
    </xf>
    <xf numFmtId="0" fontId="4" fillId="0" borderId="0" xfId="0" applyFont="1" applyBorder="1" applyAlignment="1">
      <alignment horizontal="left" indent="1"/>
    </xf>
    <xf numFmtId="0" fontId="2" fillId="0" borderId="0" xfId="0" applyFont="1" applyBorder="1" applyAlignment="1">
      <alignment horizontal="left" indent="1"/>
    </xf>
    <xf numFmtId="0" fontId="3" fillId="0" borderId="0" xfId="0" applyFont="1" applyBorder="1" applyAlignment="1">
      <alignment horizontal="left" indent="1"/>
    </xf>
    <xf numFmtId="0" fontId="2" fillId="0" borderId="0" xfId="0" applyFont="1" applyBorder="1" applyAlignment="1">
      <alignment horizontal="left" indent="1"/>
    </xf>
    <xf numFmtId="0" fontId="5" fillId="0" borderId="0" xfId="0" applyFont="1" applyBorder="1" applyAlignment="1">
      <alignment horizontal="center"/>
    </xf>
    <xf numFmtId="0" fontId="3" fillId="0" borderId="0" xfId="0" applyFont="1" applyBorder="1" applyAlignment="1">
      <alignment horizontal="left" indent="1"/>
    </xf>
    <xf numFmtId="0" fontId="2" fillId="0" borderId="0" xfId="0" applyFont="1" applyBorder="1" applyAlignment="1">
      <alignment horizontal="left" inden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Border="1" applyAlignment="1"/>
    <xf numFmtId="164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left" indent="1"/>
    </xf>
    <xf numFmtId="0" fontId="2" fillId="0" borderId="0" xfId="0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54"/>
  <sheetViews>
    <sheetView showGridLines="0" tabSelected="1" zoomScale="131" workbookViewId="0">
      <selection activeCell="C58" sqref="C58"/>
    </sheetView>
  </sheetViews>
  <sheetFormatPr baseColWidth="10" defaultColWidth="10.33203125" defaultRowHeight="13" x14ac:dyDescent="0.15"/>
  <cols>
    <col min="1" max="2" width="16.5" style="2" bestFit="1" customWidth="1"/>
    <col min="3" max="3" width="22.83203125" style="20" bestFit="1" customWidth="1"/>
    <col min="4" max="5" width="16.83203125" style="2" bestFit="1" customWidth="1"/>
    <col min="6" max="6" width="8.6640625" style="2" bestFit="1" customWidth="1"/>
    <col min="7" max="7" width="23" style="2" bestFit="1" customWidth="1"/>
    <col min="8" max="11" width="16.83203125" style="2" bestFit="1" customWidth="1"/>
    <col min="12" max="12" width="6.6640625" style="2" bestFit="1" customWidth="1"/>
    <col min="13" max="16384" width="10.33203125" style="2"/>
  </cols>
  <sheetData>
    <row r="1" spans="1:12" ht="14" thickBo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15">
      <c r="A2" s="8"/>
      <c r="B2" s="8"/>
      <c r="D2" s="8"/>
      <c r="E2" s="8"/>
      <c r="F2" s="8"/>
      <c r="G2" s="8"/>
      <c r="H2" s="8"/>
      <c r="I2" s="8"/>
      <c r="J2" s="8"/>
      <c r="K2" s="8"/>
      <c r="L2" s="8"/>
    </row>
    <row r="3" spans="1:12" x14ac:dyDescent="0.15">
      <c r="A3" s="8"/>
      <c r="B3" s="8"/>
      <c r="C3" s="21" t="s">
        <v>25</v>
      </c>
      <c r="D3" s="8" t="s">
        <v>23</v>
      </c>
      <c r="E3" s="8" t="s">
        <v>7</v>
      </c>
      <c r="F3" s="8" t="s">
        <v>14</v>
      </c>
      <c r="G3" s="2" t="s">
        <v>30</v>
      </c>
      <c r="H3" s="8" t="s">
        <v>11</v>
      </c>
      <c r="I3" s="8" t="s">
        <v>10</v>
      </c>
      <c r="J3" s="8" t="s">
        <v>13</v>
      </c>
      <c r="K3" s="8" t="s">
        <v>12</v>
      </c>
      <c r="L3" s="9" t="s">
        <v>6</v>
      </c>
    </row>
    <row r="4" spans="1:12" x14ac:dyDescent="0.15">
      <c r="A4" s="8"/>
      <c r="B4" s="8"/>
      <c r="C4" s="21" t="s">
        <v>24</v>
      </c>
      <c r="D4" s="8" t="s">
        <v>9</v>
      </c>
      <c r="E4" s="8" t="s">
        <v>17</v>
      </c>
      <c r="F4" s="8" t="s">
        <v>18</v>
      </c>
      <c r="G4" s="8" t="s">
        <v>29</v>
      </c>
      <c r="H4" s="8" t="s">
        <v>15</v>
      </c>
      <c r="I4" s="8" t="s">
        <v>15</v>
      </c>
      <c r="J4" s="8" t="s">
        <v>16</v>
      </c>
      <c r="K4" s="8" t="s">
        <v>15</v>
      </c>
      <c r="L4" s="9"/>
    </row>
    <row r="5" spans="1:12" x14ac:dyDescent="0.15">
      <c r="A5" s="8"/>
      <c r="B5" s="8"/>
      <c r="C5" s="21" t="s">
        <v>26</v>
      </c>
      <c r="D5" s="17" t="s">
        <v>21</v>
      </c>
      <c r="E5" s="17" t="s">
        <v>21</v>
      </c>
      <c r="F5" s="17">
        <v>2007</v>
      </c>
      <c r="G5" s="8" t="s">
        <v>42</v>
      </c>
      <c r="H5" s="17" t="s">
        <v>22</v>
      </c>
      <c r="I5" s="17" t="s">
        <v>22</v>
      </c>
      <c r="J5" s="17" t="s">
        <v>22</v>
      </c>
      <c r="K5" s="17" t="s">
        <v>22</v>
      </c>
      <c r="L5" s="9"/>
    </row>
    <row r="6" spans="1:12" x14ac:dyDescent="0.15">
      <c r="A6" s="8"/>
      <c r="B6" s="8"/>
      <c r="C6" s="21" t="s">
        <v>39</v>
      </c>
      <c r="D6" s="8" t="s">
        <v>40</v>
      </c>
      <c r="E6" s="8" t="s">
        <v>40</v>
      </c>
      <c r="F6" s="8" t="s">
        <v>40</v>
      </c>
      <c r="G6" s="21" t="s">
        <v>39</v>
      </c>
      <c r="H6" s="8" t="s">
        <v>40</v>
      </c>
      <c r="I6" s="8" t="s">
        <v>40</v>
      </c>
      <c r="J6" s="8" t="s">
        <v>40</v>
      </c>
      <c r="K6" s="8" t="s">
        <v>40</v>
      </c>
      <c r="L6" s="9"/>
    </row>
    <row r="7" spans="1:12" x14ac:dyDescent="0.1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5"/>
    </row>
    <row r="8" spans="1:12" x14ac:dyDescent="0.15">
      <c r="A8" s="8"/>
      <c r="B8" s="8"/>
      <c r="D8" s="8"/>
      <c r="E8" s="8"/>
      <c r="F8" s="8"/>
      <c r="G8" s="8"/>
      <c r="H8" s="8"/>
      <c r="I8" s="8"/>
      <c r="J8" s="8"/>
      <c r="K8" s="8"/>
      <c r="L8" s="9"/>
    </row>
    <row r="9" spans="1:12" x14ac:dyDescent="0.15">
      <c r="A9" s="12" t="s">
        <v>20</v>
      </c>
      <c r="B9" s="8"/>
      <c r="D9" s="8"/>
      <c r="E9" s="8"/>
      <c r="F9" s="8"/>
      <c r="G9" s="8"/>
      <c r="H9" s="8"/>
      <c r="I9" s="8"/>
      <c r="J9" s="8"/>
      <c r="K9" s="8"/>
      <c r="L9" s="9"/>
    </row>
    <row r="10" spans="1:12" x14ac:dyDescent="0.15">
      <c r="A10" s="12"/>
      <c r="B10" s="8"/>
      <c r="D10" s="8"/>
      <c r="E10" s="8"/>
      <c r="F10" s="8"/>
      <c r="G10" s="8"/>
      <c r="H10" s="8"/>
      <c r="I10" s="8"/>
      <c r="J10" s="8"/>
      <c r="K10" s="8"/>
      <c r="L10" s="9"/>
    </row>
    <row r="11" spans="1:12" x14ac:dyDescent="0.15">
      <c r="A11" s="13" t="s">
        <v>0</v>
      </c>
      <c r="B11" s="13" t="s">
        <v>0</v>
      </c>
      <c r="C11" s="20">
        <v>75</v>
      </c>
      <c r="D11" s="8">
        <v>65</v>
      </c>
      <c r="E11" s="8">
        <v>58</v>
      </c>
      <c r="F11" s="8">
        <v>8</v>
      </c>
      <c r="G11" s="8">
        <v>2</v>
      </c>
      <c r="H11" s="8">
        <v>29</v>
      </c>
      <c r="I11" s="8">
        <v>35</v>
      </c>
      <c r="J11" s="8">
        <v>1</v>
      </c>
      <c r="K11" s="8">
        <v>0</v>
      </c>
      <c r="L11" s="9">
        <f t="shared" ref="L11:L21" si="0">SUM(C11:K11)</f>
        <v>273</v>
      </c>
    </row>
    <row r="12" spans="1:12" x14ac:dyDescent="0.15">
      <c r="A12" s="13" t="s">
        <v>1</v>
      </c>
      <c r="B12" s="13" t="s">
        <v>1</v>
      </c>
      <c r="C12" s="20">
        <v>28</v>
      </c>
      <c r="D12" s="8">
        <v>20</v>
      </c>
      <c r="E12" s="8">
        <v>31</v>
      </c>
      <c r="F12" s="8">
        <v>0</v>
      </c>
      <c r="G12" s="8">
        <v>5</v>
      </c>
      <c r="H12" s="8">
        <v>5</v>
      </c>
      <c r="I12" s="8"/>
      <c r="J12" s="8">
        <v>27</v>
      </c>
      <c r="K12" s="8">
        <v>3</v>
      </c>
      <c r="L12" s="9">
        <f t="shared" si="0"/>
        <v>119</v>
      </c>
    </row>
    <row r="13" spans="1:12" x14ac:dyDescent="0.15">
      <c r="A13" s="13" t="s">
        <v>3</v>
      </c>
      <c r="B13" s="13" t="s">
        <v>3</v>
      </c>
      <c r="C13" s="20">
        <v>16</v>
      </c>
      <c r="D13" s="8">
        <v>1</v>
      </c>
      <c r="E13" s="8">
        <v>10</v>
      </c>
      <c r="F13" s="8">
        <v>0</v>
      </c>
      <c r="G13" s="8">
        <v>39</v>
      </c>
      <c r="H13" s="8">
        <v>1</v>
      </c>
      <c r="I13" s="8">
        <v>0</v>
      </c>
      <c r="J13" s="8">
        <v>0</v>
      </c>
      <c r="K13" s="8">
        <v>1</v>
      </c>
      <c r="L13" s="9">
        <f t="shared" si="0"/>
        <v>68</v>
      </c>
    </row>
    <row r="14" spans="1:12" x14ac:dyDescent="0.15">
      <c r="A14" s="13" t="s">
        <v>2</v>
      </c>
      <c r="B14" s="13" t="s">
        <v>2</v>
      </c>
      <c r="C14" s="20">
        <v>29</v>
      </c>
      <c r="D14" s="8">
        <v>17</v>
      </c>
      <c r="E14" s="8">
        <v>1</v>
      </c>
      <c r="F14" s="8">
        <v>0</v>
      </c>
      <c r="G14" s="8">
        <v>0</v>
      </c>
      <c r="H14" s="8">
        <v>3</v>
      </c>
      <c r="I14" s="8">
        <v>2</v>
      </c>
      <c r="J14" s="8">
        <v>1</v>
      </c>
      <c r="K14" s="8">
        <v>0</v>
      </c>
      <c r="L14" s="9">
        <f t="shared" si="0"/>
        <v>53</v>
      </c>
    </row>
    <row r="15" spans="1:12" x14ac:dyDescent="0.15">
      <c r="A15" s="13" t="s">
        <v>4</v>
      </c>
      <c r="B15" s="13" t="s">
        <v>4</v>
      </c>
      <c r="C15" s="20">
        <v>25</v>
      </c>
      <c r="D15" s="8">
        <v>1</v>
      </c>
      <c r="E15" s="8">
        <v>0</v>
      </c>
      <c r="F15" s="8">
        <v>0</v>
      </c>
      <c r="G15" s="8">
        <v>0</v>
      </c>
      <c r="H15" s="8">
        <v>8</v>
      </c>
      <c r="I15" s="8">
        <v>0</v>
      </c>
      <c r="J15" s="8">
        <v>5</v>
      </c>
      <c r="K15" s="8">
        <v>0</v>
      </c>
      <c r="L15" s="9">
        <f t="shared" si="0"/>
        <v>39</v>
      </c>
    </row>
    <row r="16" spans="1:12" x14ac:dyDescent="0.15">
      <c r="A16" s="13" t="s">
        <v>31</v>
      </c>
      <c r="B16" s="13" t="s">
        <v>31</v>
      </c>
      <c r="C16" s="20">
        <v>0</v>
      </c>
      <c r="D16" s="8">
        <v>0</v>
      </c>
      <c r="E16" s="8">
        <v>0</v>
      </c>
      <c r="F16" s="8">
        <v>0</v>
      </c>
      <c r="G16" s="8">
        <v>17</v>
      </c>
      <c r="H16" s="8">
        <v>0</v>
      </c>
      <c r="I16" s="8">
        <v>0</v>
      </c>
      <c r="J16" s="8">
        <v>0</v>
      </c>
      <c r="K16" s="8">
        <v>0</v>
      </c>
      <c r="L16" s="9">
        <f t="shared" si="0"/>
        <v>17</v>
      </c>
    </row>
    <row r="17" spans="1:12" x14ac:dyDescent="0.15">
      <c r="A17" s="13" t="s">
        <v>28</v>
      </c>
      <c r="B17" s="13" t="s">
        <v>28</v>
      </c>
      <c r="C17" s="20">
        <v>7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9">
        <f t="shared" si="0"/>
        <v>7</v>
      </c>
    </row>
    <row r="18" spans="1:12" x14ac:dyDescent="0.15">
      <c r="A18" s="13" t="s">
        <v>27</v>
      </c>
      <c r="B18" s="13" t="s">
        <v>27</v>
      </c>
      <c r="C18" s="20">
        <v>2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9">
        <f t="shared" si="0"/>
        <v>2</v>
      </c>
    </row>
    <row r="19" spans="1:12" x14ac:dyDescent="0.15">
      <c r="A19" s="13" t="s">
        <v>5</v>
      </c>
      <c r="B19" s="13" t="s">
        <v>5</v>
      </c>
      <c r="C19" s="20">
        <v>0</v>
      </c>
      <c r="D19" s="8">
        <v>0</v>
      </c>
      <c r="E19" s="8">
        <v>0</v>
      </c>
      <c r="F19" s="8">
        <v>1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9">
        <f t="shared" si="0"/>
        <v>1</v>
      </c>
    </row>
    <row r="20" spans="1:12" x14ac:dyDescent="0.15">
      <c r="A20" s="16" t="s">
        <v>32</v>
      </c>
      <c r="B20" s="16" t="s">
        <v>32</v>
      </c>
      <c r="C20" s="20">
        <v>0</v>
      </c>
      <c r="D20" s="8">
        <v>0</v>
      </c>
      <c r="E20" s="8">
        <v>0</v>
      </c>
      <c r="F20" s="8">
        <v>0</v>
      </c>
      <c r="G20" s="8">
        <v>1</v>
      </c>
      <c r="H20" s="8">
        <v>0</v>
      </c>
      <c r="I20" s="8">
        <v>0</v>
      </c>
      <c r="J20" s="8">
        <v>0</v>
      </c>
      <c r="K20" s="8">
        <v>0</v>
      </c>
      <c r="L20" s="9">
        <f t="shared" si="0"/>
        <v>1</v>
      </c>
    </row>
    <row r="21" spans="1:12" x14ac:dyDescent="0.15">
      <c r="A21" s="13" t="s">
        <v>33</v>
      </c>
      <c r="B21" s="13" t="s">
        <v>33</v>
      </c>
      <c r="C21" s="20">
        <v>0</v>
      </c>
      <c r="D21" s="8">
        <v>0</v>
      </c>
      <c r="E21" s="8">
        <v>0</v>
      </c>
      <c r="F21" s="8">
        <v>0</v>
      </c>
      <c r="G21" s="8">
        <v>1</v>
      </c>
      <c r="H21" s="8">
        <v>0</v>
      </c>
      <c r="I21" s="8">
        <v>0</v>
      </c>
      <c r="J21" s="8">
        <v>0</v>
      </c>
      <c r="K21" s="8">
        <v>0</v>
      </c>
      <c r="L21" s="9">
        <f t="shared" si="0"/>
        <v>1</v>
      </c>
    </row>
    <row r="22" spans="1:12" s="3" customFormat="1" x14ac:dyDescent="0.15">
      <c r="A22" s="24" t="s">
        <v>19</v>
      </c>
      <c r="B22" s="25"/>
      <c r="C22" s="9">
        <f t="shared" ref="C22:L22" si="1">SUM(C11:C21)</f>
        <v>182</v>
      </c>
      <c r="D22" s="9">
        <f t="shared" si="1"/>
        <v>104</v>
      </c>
      <c r="E22" s="9">
        <f t="shared" si="1"/>
        <v>100</v>
      </c>
      <c r="F22" s="9">
        <f t="shared" si="1"/>
        <v>9</v>
      </c>
      <c r="G22" s="9">
        <f t="shared" si="1"/>
        <v>65</v>
      </c>
      <c r="H22" s="9">
        <f t="shared" si="1"/>
        <v>46</v>
      </c>
      <c r="I22" s="9">
        <f t="shared" si="1"/>
        <v>37</v>
      </c>
      <c r="J22" s="9">
        <f t="shared" si="1"/>
        <v>34</v>
      </c>
      <c r="K22" s="9">
        <f t="shared" si="1"/>
        <v>4</v>
      </c>
      <c r="L22" s="9">
        <f t="shared" si="1"/>
        <v>581</v>
      </c>
    </row>
    <row r="23" spans="1:12" x14ac:dyDescent="0.15">
      <c r="A23" s="11"/>
      <c r="B23" s="11"/>
      <c r="D23" s="8"/>
      <c r="E23" s="8"/>
      <c r="F23" s="8"/>
      <c r="G23" s="8"/>
      <c r="H23" s="8"/>
      <c r="I23" s="8"/>
      <c r="J23" s="8"/>
      <c r="K23" s="8"/>
      <c r="L23" s="9"/>
    </row>
    <row r="24" spans="1:12" x14ac:dyDescent="0.15">
      <c r="A24" s="12" t="s">
        <v>41</v>
      </c>
      <c r="B24" s="11"/>
      <c r="D24" s="8"/>
      <c r="E24" s="8"/>
      <c r="F24" s="8"/>
      <c r="G24" s="8"/>
      <c r="H24" s="8"/>
      <c r="I24" s="8"/>
      <c r="J24" s="8"/>
      <c r="K24" s="8"/>
      <c r="L24" s="9"/>
    </row>
    <row r="25" spans="1:12" x14ac:dyDescent="0.15">
      <c r="A25" s="12"/>
      <c r="B25" s="11"/>
      <c r="D25" s="8"/>
      <c r="E25" s="8"/>
      <c r="F25" s="8"/>
      <c r="G25" s="8"/>
      <c r="H25" s="8"/>
      <c r="I25" s="8"/>
      <c r="J25" s="8"/>
      <c r="K25" s="8"/>
      <c r="L25" s="9"/>
    </row>
    <row r="26" spans="1:12" x14ac:dyDescent="0.15">
      <c r="A26" s="13" t="s">
        <v>2</v>
      </c>
      <c r="B26" s="10" t="s">
        <v>0</v>
      </c>
      <c r="C26" s="20">
        <v>1</v>
      </c>
      <c r="D26" s="8">
        <v>1</v>
      </c>
      <c r="E26" s="8">
        <v>0</v>
      </c>
      <c r="F26" s="8">
        <v>0</v>
      </c>
      <c r="G26" s="8">
        <v>0</v>
      </c>
      <c r="H26" s="8">
        <v>1</v>
      </c>
      <c r="I26" s="8">
        <v>1</v>
      </c>
      <c r="J26" s="8">
        <v>0</v>
      </c>
      <c r="K26" s="8">
        <v>0</v>
      </c>
      <c r="L26" s="9">
        <f t="shared" ref="L26:L32" si="2">SUM(C26:K26)</f>
        <v>4</v>
      </c>
    </row>
    <row r="27" spans="1:12" x14ac:dyDescent="0.15">
      <c r="A27" s="13" t="s">
        <v>1</v>
      </c>
      <c r="B27" s="10" t="s">
        <v>2</v>
      </c>
      <c r="C27" s="20">
        <v>3</v>
      </c>
      <c r="D27" s="8">
        <v>1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9">
        <f t="shared" si="2"/>
        <v>4</v>
      </c>
    </row>
    <row r="28" spans="1:12" x14ac:dyDescent="0.15">
      <c r="A28" s="13" t="s">
        <v>0</v>
      </c>
      <c r="B28" s="22" t="s">
        <v>3</v>
      </c>
      <c r="C28" s="20">
        <v>3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9">
        <f t="shared" si="2"/>
        <v>3</v>
      </c>
    </row>
    <row r="29" spans="1:12" x14ac:dyDescent="0.15">
      <c r="A29" s="13" t="s">
        <v>0</v>
      </c>
      <c r="B29" s="10" t="s">
        <v>1</v>
      </c>
      <c r="C29" s="20">
        <v>0</v>
      </c>
      <c r="D29" s="8">
        <v>0</v>
      </c>
      <c r="E29" s="8">
        <v>1</v>
      </c>
      <c r="F29" s="8">
        <v>0</v>
      </c>
      <c r="G29" s="8">
        <v>0</v>
      </c>
      <c r="H29" s="8">
        <v>1</v>
      </c>
      <c r="I29" s="8">
        <v>0</v>
      </c>
      <c r="J29" s="8">
        <v>0</v>
      </c>
      <c r="K29" s="8">
        <v>0</v>
      </c>
      <c r="L29" s="9">
        <f t="shared" si="2"/>
        <v>2</v>
      </c>
    </row>
    <row r="30" spans="1:12" x14ac:dyDescent="0.15">
      <c r="A30" s="13" t="s">
        <v>1</v>
      </c>
      <c r="B30" s="10" t="s">
        <v>8</v>
      </c>
      <c r="C30" s="20">
        <v>0</v>
      </c>
      <c r="D30" s="8">
        <v>0</v>
      </c>
      <c r="E30" s="8">
        <v>0</v>
      </c>
      <c r="F30" s="8">
        <v>0</v>
      </c>
      <c r="G30" s="8">
        <v>0</v>
      </c>
      <c r="H30" s="8">
        <v>0</v>
      </c>
      <c r="I30" s="8">
        <v>1</v>
      </c>
      <c r="J30" s="8">
        <v>0</v>
      </c>
      <c r="K30" s="8">
        <v>0</v>
      </c>
      <c r="L30" s="9">
        <f t="shared" si="2"/>
        <v>1</v>
      </c>
    </row>
    <row r="31" spans="1:12" x14ac:dyDescent="0.15">
      <c r="A31" s="13" t="s">
        <v>0</v>
      </c>
      <c r="B31" s="10" t="s">
        <v>31</v>
      </c>
      <c r="C31" s="20">
        <v>0</v>
      </c>
      <c r="D31" s="8">
        <v>0</v>
      </c>
      <c r="E31" s="8">
        <v>0</v>
      </c>
      <c r="F31" s="8">
        <v>0</v>
      </c>
      <c r="G31" s="8">
        <v>1</v>
      </c>
      <c r="H31" s="8">
        <v>0</v>
      </c>
      <c r="I31" s="8">
        <v>0</v>
      </c>
      <c r="J31" s="8">
        <v>0</v>
      </c>
      <c r="K31" s="8">
        <v>0</v>
      </c>
      <c r="L31" s="9">
        <f t="shared" si="2"/>
        <v>1</v>
      </c>
    </row>
    <row r="32" spans="1:12" x14ac:dyDescent="0.15">
      <c r="A32" s="14" t="s">
        <v>32</v>
      </c>
      <c r="B32" s="10" t="s">
        <v>1</v>
      </c>
      <c r="C32" s="20">
        <v>0</v>
      </c>
      <c r="D32" s="8">
        <v>1</v>
      </c>
      <c r="E32" s="8">
        <v>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9">
        <f t="shared" si="2"/>
        <v>1</v>
      </c>
    </row>
    <row r="33" spans="1:12" s="3" customFormat="1" x14ac:dyDescent="0.15">
      <c r="A33" s="24" t="s">
        <v>19</v>
      </c>
      <c r="B33" s="25"/>
      <c r="C33" s="9">
        <f t="shared" ref="C33:L33" si="3">SUM(C26:C32)</f>
        <v>7</v>
      </c>
      <c r="D33" s="9">
        <f t="shared" si="3"/>
        <v>3</v>
      </c>
      <c r="E33" s="9">
        <f t="shared" si="3"/>
        <v>1</v>
      </c>
      <c r="F33" s="9">
        <f t="shared" si="3"/>
        <v>0</v>
      </c>
      <c r="G33" s="9">
        <f t="shared" si="3"/>
        <v>1</v>
      </c>
      <c r="H33" s="9">
        <f t="shared" si="3"/>
        <v>2</v>
      </c>
      <c r="I33" s="9">
        <f t="shared" si="3"/>
        <v>2</v>
      </c>
      <c r="J33" s="9">
        <f t="shared" si="3"/>
        <v>0</v>
      </c>
      <c r="K33" s="9">
        <f t="shared" si="3"/>
        <v>0</v>
      </c>
      <c r="L33" s="9">
        <f t="shared" si="3"/>
        <v>16</v>
      </c>
    </row>
    <row r="34" spans="1:12" s="3" customFormat="1" x14ac:dyDescent="0.15">
      <c r="A34" s="15" t="s">
        <v>36</v>
      </c>
      <c r="B34" s="16"/>
      <c r="C34" s="23">
        <f t="shared" ref="C34:L34" si="4">C33/C22*100</f>
        <v>3.8461538461538463</v>
      </c>
      <c r="D34" s="23">
        <f t="shared" si="4"/>
        <v>2.8846153846153846</v>
      </c>
      <c r="E34" s="23">
        <f t="shared" si="4"/>
        <v>1</v>
      </c>
      <c r="F34" s="23">
        <f t="shared" si="4"/>
        <v>0</v>
      </c>
      <c r="G34" s="23">
        <f t="shared" si="4"/>
        <v>1.5384615384615385</v>
      </c>
      <c r="H34" s="23">
        <f t="shared" si="4"/>
        <v>4.3478260869565215</v>
      </c>
      <c r="I34" s="23">
        <f t="shared" si="4"/>
        <v>5.4054054054054053</v>
      </c>
      <c r="J34" s="23">
        <f t="shared" si="4"/>
        <v>0</v>
      </c>
      <c r="K34" s="23">
        <f t="shared" si="4"/>
        <v>0</v>
      </c>
      <c r="L34" s="23">
        <f t="shared" si="4"/>
        <v>2.753872633390706</v>
      </c>
    </row>
    <row r="35" spans="1:12" s="3" customFormat="1" x14ac:dyDescent="0.15">
      <c r="A35" s="18"/>
      <c r="B35" s="19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spans="1:12" s="3" customFormat="1" x14ac:dyDescent="0.15">
      <c r="A36" s="12" t="s">
        <v>43</v>
      </c>
      <c r="B36" s="11"/>
      <c r="C36" s="20"/>
      <c r="D36" s="8"/>
      <c r="E36" s="8"/>
      <c r="F36" s="8"/>
      <c r="G36" s="8"/>
      <c r="H36" s="8"/>
      <c r="I36" s="8"/>
      <c r="J36" s="8"/>
      <c r="K36" s="8"/>
      <c r="L36" s="9"/>
    </row>
    <row r="37" spans="1:12" s="3" customFormat="1" x14ac:dyDescent="0.15">
      <c r="A37" s="12"/>
      <c r="B37" s="11"/>
      <c r="C37" s="20"/>
      <c r="D37" s="8"/>
      <c r="E37" s="8"/>
      <c r="F37" s="8"/>
      <c r="G37" s="8"/>
      <c r="H37" s="8"/>
      <c r="I37" s="8"/>
      <c r="J37" s="8"/>
      <c r="K37" s="8"/>
      <c r="L37" s="9"/>
    </row>
    <row r="38" spans="1:12" s="3" customFormat="1" x14ac:dyDescent="0.15">
      <c r="A38" s="13" t="s">
        <v>0</v>
      </c>
      <c r="B38" s="2"/>
      <c r="C38" s="20">
        <v>4</v>
      </c>
      <c r="D38" s="8">
        <v>1</v>
      </c>
      <c r="E38" s="8">
        <v>1</v>
      </c>
      <c r="F38" s="8">
        <v>0</v>
      </c>
      <c r="G38" s="8">
        <v>1</v>
      </c>
      <c r="H38" s="8">
        <v>2</v>
      </c>
      <c r="I38" s="8">
        <v>1</v>
      </c>
      <c r="J38" s="8">
        <v>0</v>
      </c>
      <c r="K38" s="8">
        <v>0</v>
      </c>
      <c r="L38" s="9">
        <f t="shared" ref="L38:L44" si="5">SUM(C38:K38)</f>
        <v>10</v>
      </c>
    </row>
    <row r="39" spans="1:12" s="3" customFormat="1" x14ac:dyDescent="0.15">
      <c r="A39" s="13" t="s">
        <v>1</v>
      </c>
      <c r="B39" s="10"/>
      <c r="C39" s="20">
        <v>3</v>
      </c>
      <c r="D39" s="8">
        <v>2</v>
      </c>
      <c r="E39" s="8">
        <v>1</v>
      </c>
      <c r="F39" s="8">
        <v>0</v>
      </c>
      <c r="G39" s="8">
        <v>0</v>
      </c>
      <c r="H39" s="8">
        <v>1</v>
      </c>
      <c r="I39" s="8">
        <v>1</v>
      </c>
      <c r="J39" s="8">
        <v>0</v>
      </c>
      <c r="K39" s="8">
        <v>0</v>
      </c>
      <c r="L39" s="9">
        <f t="shared" si="5"/>
        <v>8</v>
      </c>
    </row>
    <row r="40" spans="1:12" s="3" customFormat="1" x14ac:dyDescent="0.15">
      <c r="A40" s="13" t="s">
        <v>2</v>
      </c>
      <c r="B40" s="10"/>
      <c r="C40" s="20">
        <v>4</v>
      </c>
      <c r="D40" s="8">
        <v>2</v>
      </c>
      <c r="E40" s="8">
        <v>0</v>
      </c>
      <c r="F40" s="8">
        <v>0</v>
      </c>
      <c r="G40" s="8">
        <v>0</v>
      </c>
      <c r="H40" s="8">
        <v>1</v>
      </c>
      <c r="I40" s="8">
        <v>1</v>
      </c>
      <c r="J40" s="8">
        <v>0</v>
      </c>
      <c r="K40" s="8">
        <v>0</v>
      </c>
      <c r="L40" s="9">
        <f t="shared" si="5"/>
        <v>8</v>
      </c>
    </row>
    <row r="41" spans="1:12" s="3" customFormat="1" x14ac:dyDescent="0.15">
      <c r="A41" s="13" t="s">
        <v>3</v>
      </c>
      <c r="B41" s="13"/>
      <c r="C41" s="20">
        <v>3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9">
        <f t="shared" si="5"/>
        <v>3</v>
      </c>
    </row>
    <row r="42" spans="1:12" s="3" customFormat="1" x14ac:dyDescent="0.15">
      <c r="A42" s="13" t="s">
        <v>8</v>
      </c>
      <c r="B42" s="13"/>
      <c r="C42" s="20">
        <v>0</v>
      </c>
      <c r="D42" s="8">
        <v>0</v>
      </c>
      <c r="E42" s="8">
        <v>0</v>
      </c>
      <c r="F42" s="8">
        <v>0</v>
      </c>
      <c r="G42" s="8">
        <v>0</v>
      </c>
      <c r="H42" s="8">
        <v>0</v>
      </c>
      <c r="I42" s="8">
        <v>1</v>
      </c>
      <c r="J42" s="8">
        <v>0</v>
      </c>
      <c r="K42" s="8">
        <v>0</v>
      </c>
      <c r="L42" s="9">
        <f t="shared" si="5"/>
        <v>1</v>
      </c>
    </row>
    <row r="43" spans="1:12" s="3" customFormat="1" x14ac:dyDescent="0.15">
      <c r="A43" s="13" t="s">
        <v>31</v>
      </c>
      <c r="B43" s="13"/>
      <c r="C43" s="20">
        <v>0</v>
      </c>
      <c r="D43" s="8">
        <v>0</v>
      </c>
      <c r="E43" s="8">
        <v>0</v>
      </c>
      <c r="F43" s="8">
        <v>0</v>
      </c>
      <c r="G43" s="8">
        <v>1</v>
      </c>
      <c r="H43" s="8">
        <v>0</v>
      </c>
      <c r="I43" s="8">
        <v>0</v>
      </c>
      <c r="J43" s="8">
        <v>0</v>
      </c>
      <c r="K43" s="8">
        <v>0</v>
      </c>
      <c r="L43" s="9">
        <f t="shared" si="5"/>
        <v>1</v>
      </c>
    </row>
    <row r="44" spans="1:12" s="3" customFormat="1" x14ac:dyDescent="0.15">
      <c r="A44" s="19" t="s">
        <v>32</v>
      </c>
      <c r="B44" s="10"/>
      <c r="C44" s="20">
        <v>0</v>
      </c>
      <c r="D44" s="8">
        <v>1</v>
      </c>
      <c r="E44" s="8">
        <v>0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9">
        <f t="shared" si="5"/>
        <v>1</v>
      </c>
    </row>
    <row r="45" spans="1:12" s="3" customFormat="1" x14ac:dyDescent="0.15">
      <c r="A45" s="24" t="s">
        <v>19</v>
      </c>
      <c r="B45" s="25"/>
      <c r="C45" s="9">
        <f t="shared" ref="C45:L45" si="6">SUM(C38:C44)</f>
        <v>14</v>
      </c>
      <c r="D45" s="9">
        <f t="shared" si="6"/>
        <v>6</v>
      </c>
      <c r="E45" s="9">
        <f t="shared" si="6"/>
        <v>2</v>
      </c>
      <c r="F45" s="9">
        <f t="shared" si="6"/>
        <v>0</v>
      </c>
      <c r="G45" s="9">
        <f t="shared" si="6"/>
        <v>2</v>
      </c>
      <c r="H45" s="9">
        <f t="shared" si="6"/>
        <v>4</v>
      </c>
      <c r="I45" s="9">
        <f t="shared" si="6"/>
        <v>4</v>
      </c>
      <c r="J45" s="9">
        <f t="shared" si="6"/>
        <v>0</v>
      </c>
      <c r="K45" s="9">
        <f t="shared" si="6"/>
        <v>0</v>
      </c>
      <c r="L45" s="9">
        <f t="shared" si="6"/>
        <v>32</v>
      </c>
    </row>
    <row r="46" spans="1:12" ht="14" thickBot="1" x14ac:dyDescent="0.2">
      <c r="A46" s="1"/>
      <c r="B46" s="6"/>
      <c r="C46" s="6"/>
      <c r="D46" s="1"/>
      <c r="E46" s="1"/>
      <c r="F46" s="1"/>
      <c r="G46" s="1"/>
      <c r="H46" s="1"/>
      <c r="I46" s="1"/>
      <c r="J46" s="1"/>
      <c r="K46" s="1"/>
      <c r="L46" s="7"/>
    </row>
    <row r="47" spans="1:12" x14ac:dyDescent="0.15">
      <c r="A47" s="8"/>
      <c r="B47" s="11"/>
      <c r="D47" s="8"/>
      <c r="E47" s="8"/>
      <c r="F47" s="8"/>
      <c r="G47" s="8"/>
      <c r="H47" s="8"/>
      <c r="I47" s="8"/>
      <c r="J47" s="8"/>
      <c r="K47" s="8"/>
      <c r="L47" s="9"/>
    </row>
    <row r="48" spans="1:12" x14ac:dyDescent="0.15">
      <c r="L48" s="23"/>
    </row>
    <row r="49" spans="1:12" x14ac:dyDescent="0.15">
      <c r="A49" s="2" t="s">
        <v>34</v>
      </c>
      <c r="C49" s="21" t="s">
        <v>35</v>
      </c>
      <c r="D49" s="21" t="s">
        <v>35</v>
      </c>
      <c r="E49" s="21" t="s">
        <v>35</v>
      </c>
      <c r="F49" s="21" t="s">
        <v>35</v>
      </c>
      <c r="G49" s="21" t="s">
        <v>35</v>
      </c>
      <c r="H49" s="21" t="s">
        <v>35</v>
      </c>
      <c r="I49" s="21" t="s">
        <v>35</v>
      </c>
      <c r="J49" s="21" t="s">
        <v>35</v>
      </c>
      <c r="K49" s="21" t="s">
        <v>35</v>
      </c>
      <c r="L49" s="2">
        <f>L22+L33</f>
        <v>597</v>
      </c>
    </row>
    <row r="51" spans="1:12" x14ac:dyDescent="0.15">
      <c r="A51" s="2" t="s">
        <v>37</v>
      </c>
    </row>
    <row r="52" spans="1:12" x14ac:dyDescent="0.15">
      <c r="A52" s="2" t="s">
        <v>38</v>
      </c>
    </row>
    <row r="54" spans="1:12" x14ac:dyDescent="0.15">
      <c r="A54" s="10"/>
    </row>
  </sheetData>
  <sortState ref="A26:L32">
    <sortCondition descending="1" ref="L26:L32"/>
  </sortState>
  <mergeCells count="3">
    <mergeCell ref="A22:B22"/>
    <mergeCell ref="A33:B33"/>
    <mergeCell ref="A45:B45"/>
  </mergeCells>
  <phoneticPr fontId="1" type="noConversion"/>
  <pageMargins left="0.75" right="0.75" top="1" bottom="1" header="0.5" footer="0.5"/>
  <pageSetup scale="64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>McGill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</dc:creator>
  <cp:lastModifiedBy>Oscar Puebla</cp:lastModifiedBy>
  <cp:lastPrinted>2010-09-15T14:04:34Z</cp:lastPrinted>
  <dcterms:created xsi:type="dcterms:W3CDTF">2010-07-27T15:18:22Z</dcterms:created>
  <dcterms:modified xsi:type="dcterms:W3CDTF">2026-06-23T10:13:43Z</dcterms:modified>
</cp:coreProperties>
</file>