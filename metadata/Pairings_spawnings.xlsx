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opu/Documents/Hypoplectrus/Phenotypic_variation/Revisions/"/>
    </mc:Choice>
  </mc:AlternateContent>
  <xr:revisionPtr revIDLastSave="0" documentId="13_ncr:1_{21091909-0E3D-D64F-BB51-76BE8D304310}" xr6:coauthVersionLast="36" xr6:coauthVersionMax="36" xr10:uidLastSave="{00000000-0000-0000-0000-000000000000}"/>
  <bookViews>
    <workbookView xWindow="500" yWindow="1080" windowWidth="26380" windowHeight="14040" tabRatio="500" xr2:uid="{00000000-000D-0000-FFFF-FFFF00000000}"/>
  </bookViews>
  <sheets>
    <sheet name="Spawnings" sheetId="2" r:id="rId1"/>
    <sheet name="Species_comp" sheetId="3" r:id="rId2"/>
  </sheets>
  <definedNames>
    <definedName name="_xlnm.Print_Area" localSheetId="0">Spawnings!$A$1:$U$58</definedName>
  </definedNames>
  <calcPr calcId="181029"/>
</workbook>
</file>

<file path=xl/calcChain.xml><?xml version="1.0" encoding="utf-8"?>
<calcChain xmlns="http://schemas.openxmlformats.org/spreadsheetml/2006/main">
  <c r="U45" i="2" l="1"/>
  <c r="U28" i="2"/>
  <c r="U29" i="2"/>
  <c r="U44" i="2" s="1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27" i="2"/>
  <c r="T23" i="2"/>
  <c r="R23" i="2"/>
  <c r="P23" i="2"/>
  <c r="N23" i="2"/>
  <c r="L23" i="2"/>
  <c r="J23" i="2" l="1"/>
  <c r="H23" i="2" l="1"/>
  <c r="C44" i="2" l="1"/>
  <c r="F23" i="2"/>
  <c r="D23" i="2" l="1"/>
  <c r="E44" i="2"/>
  <c r="G44" i="2"/>
  <c r="I44" i="2"/>
  <c r="K44" i="2"/>
  <c r="M44" i="2"/>
  <c r="O44" i="2"/>
  <c r="Q44" i="2"/>
  <c r="S44" i="2"/>
  <c r="C23" i="2"/>
  <c r="C45" i="2" l="1"/>
  <c r="U55" i="2"/>
  <c r="U53" i="2"/>
  <c r="U49" i="2"/>
  <c r="V49" i="2" s="1"/>
  <c r="U50" i="2"/>
  <c r="U51" i="2"/>
  <c r="U52" i="2"/>
  <c r="U54" i="2"/>
  <c r="Q56" i="2"/>
  <c r="S56" i="2"/>
  <c r="O56" i="2"/>
  <c r="M56" i="2"/>
  <c r="K56" i="2"/>
  <c r="I56" i="2"/>
  <c r="G56" i="2"/>
  <c r="E56" i="2"/>
  <c r="C56" i="2"/>
  <c r="Q23" i="2"/>
  <c r="Q45" i="2" s="1"/>
  <c r="S23" i="2"/>
  <c r="S45" i="2" s="1"/>
  <c r="O23" i="2"/>
  <c r="O45" i="2" s="1"/>
  <c r="M23" i="2"/>
  <c r="M45" i="2" s="1"/>
  <c r="K23" i="2"/>
  <c r="K45" i="2" s="1"/>
  <c r="I23" i="2"/>
  <c r="I45" i="2" s="1"/>
  <c r="G23" i="2"/>
  <c r="G45" i="2" s="1"/>
  <c r="E23" i="2"/>
  <c r="U23" i="2" l="1"/>
  <c r="E45" i="2"/>
  <c r="V53" i="2"/>
  <c r="V51" i="2"/>
  <c r="U56" i="2"/>
  <c r="V52" i="2"/>
  <c r="V50" i="2"/>
  <c r="V54" i="2"/>
  <c r="V55" i="2"/>
  <c r="U60" i="2" l="1"/>
</calcChain>
</file>

<file path=xl/sharedStrings.xml><?xml version="1.0" encoding="utf-8"?>
<sst xmlns="http://schemas.openxmlformats.org/spreadsheetml/2006/main" count="369" uniqueCount="49">
  <si>
    <t>H. puella</t>
  </si>
  <si>
    <t>H. nigricans</t>
  </si>
  <si>
    <t>H. aberrans</t>
  </si>
  <si>
    <t>H. unicolor</t>
  </si>
  <si>
    <t>H. indigo</t>
  </si>
  <si>
    <t>H. chlorurus</t>
  </si>
  <si>
    <t>Total</t>
  </si>
  <si>
    <t>Bocas del Toro</t>
  </si>
  <si>
    <t>H. indigo</t>
    <phoneticPr fontId="1" type="noConversion"/>
  </si>
  <si>
    <t>Panama</t>
  </si>
  <si>
    <t>Utila</t>
    <phoneticPr fontId="1" type="noConversion"/>
  </si>
  <si>
    <t>Guanaja</t>
    <phoneticPr fontId="1" type="noConversion"/>
  </si>
  <si>
    <t>Half-moon Cay</t>
    <phoneticPr fontId="1" type="noConversion"/>
  </si>
  <si>
    <t>Carrie Bow Cay</t>
    <phoneticPr fontId="1" type="noConversion"/>
  </si>
  <si>
    <t>Bank reef</t>
    <phoneticPr fontId="1" type="noConversion"/>
  </si>
  <si>
    <t>Honduras</t>
    <phoneticPr fontId="1" type="noConversion"/>
  </si>
  <si>
    <t>Belize</t>
    <phoneticPr fontId="1" type="noConversion"/>
  </si>
  <si>
    <t>Panama</t>
    <phoneticPr fontId="1" type="noConversion"/>
  </si>
  <si>
    <t>Barbados</t>
    <phoneticPr fontId="1" type="noConversion"/>
  </si>
  <si>
    <t>Total</t>
    <phoneticPr fontId="1" type="noConversion"/>
  </si>
  <si>
    <t>Assortative</t>
    <phoneticPr fontId="1" type="noConversion"/>
  </si>
  <si>
    <r>
      <t xml:space="preserve">Puebla </t>
    </r>
    <r>
      <rPr>
        <i/>
        <sz val="10"/>
        <rFont val="Arial"/>
        <family val="2"/>
      </rPr>
      <t>et al.</t>
    </r>
    <r>
      <rPr>
        <sz val="10"/>
        <rFont val="Arial"/>
        <family val="2"/>
      </rPr>
      <t xml:space="preserve"> (2007)</t>
    </r>
  </si>
  <si>
    <r>
      <t xml:space="preserve">Puebla </t>
    </r>
    <r>
      <rPr>
        <i/>
        <sz val="10"/>
        <rFont val="Arial"/>
        <family val="2"/>
      </rPr>
      <t>et al.</t>
    </r>
    <r>
      <rPr>
        <sz val="10"/>
        <rFont val="Arial"/>
        <family val="2"/>
      </rPr>
      <t xml:space="preserve"> (2011)</t>
    </r>
  </si>
  <si>
    <t>Guna Yala</t>
  </si>
  <si>
    <t>Jamaica/Panama</t>
  </si>
  <si>
    <t>Discovery Bay/Guna Yala</t>
  </si>
  <si>
    <t>Fisher (1980)</t>
  </si>
  <si>
    <t>H. guttavarius</t>
  </si>
  <si>
    <t>H. affinis</t>
  </si>
  <si>
    <t>Florida Keys</t>
  </si>
  <si>
    <t>Key Largo/Long Key</t>
  </si>
  <si>
    <t>H. gemma</t>
  </si>
  <si>
    <t>Tan hamlet</t>
  </si>
  <si>
    <t>Hypoplectrus sp.</t>
  </si>
  <si>
    <t>Transects</t>
  </si>
  <si>
    <t>Yes</t>
  </si>
  <si>
    <t>%</t>
  </si>
  <si>
    <t>11 species</t>
  </si>
  <si>
    <t>9 locatios</t>
  </si>
  <si>
    <t>Pairings</t>
  </si>
  <si>
    <t>Spawnnings</t>
  </si>
  <si>
    <t>Mixed (per pair)</t>
  </si>
  <si>
    <t>Barreto &amp; McCartney (2008)</t>
  </si>
  <si>
    <t>Mixed (per species)</t>
  </si>
  <si>
    <t>[%]</t>
  </si>
  <si>
    <t>H, gummigutta</t>
  </si>
  <si>
    <t>-</t>
  </si>
  <si>
    <t>Counts</t>
  </si>
  <si>
    <t>H. gummigutta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</si>
</sst>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Verdana"/>
    </font>
    <font>
      <sz val="8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0" fontId="4" fillId="2" borderId="0" xfId="0" applyFont="1" applyFill="1" applyBorder="1" applyAlignment="1"/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6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5"/>
  <sheetViews>
    <sheetView showGridLines="0" tabSelected="1" topLeftCell="A26" zoomScale="164" workbookViewId="0">
      <pane xSplit="2" topLeftCell="O1" activePane="topRight" state="frozen"/>
      <selection pane="topRight" activeCell="Q47" sqref="Q47"/>
    </sheetView>
  </sheetViews>
  <sheetFormatPr baseColWidth="10" defaultColWidth="10.33203125" defaultRowHeight="13" x14ac:dyDescent="0.15"/>
  <cols>
    <col min="1" max="1" width="17.33203125" style="2" bestFit="1" customWidth="1"/>
    <col min="2" max="2" width="16.5" style="2" bestFit="1" customWidth="1"/>
    <col min="3" max="4" width="12.83203125" style="20" customWidth="1"/>
    <col min="5" max="13" width="12.83203125" style="2" customWidth="1"/>
    <col min="14" max="14" width="12.83203125" style="43" customWidth="1"/>
    <col min="15" max="15" width="12.83203125" style="2" customWidth="1"/>
    <col min="16" max="16" width="12.83203125" style="43" customWidth="1"/>
    <col min="17" max="17" width="12.83203125" style="2" customWidth="1"/>
    <col min="18" max="18" width="12.83203125" style="43" customWidth="1"/>
    <col min="19" max="19" width="12.83203125" style="2" customWidth="1"/>
    <col min="20" max="20" width="12.83203125" style="43" customWidth="1"/>
    <col min="21" max="22" width="12.83203125" style="2" customWidth="1"/>
    <col min="23" max="16384" width="10.33203125" style="2"/>
  </cols>
  <sheetData>
    <row r="1" spans="1:22" ht="14" thickBo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15">
      <c r="A2" s="8"/>
      <c r="B2" s="8"/>
      <c r="E2" s="8"/>
      <c r="F2" s="8"/>
      <c r="G2" s="8"/>
      <c r="H2" s="38"/>
      <c r="I2" s="8"/>
      <c r="J2" s="39"/>
      <c r="K2" s="8"/>
      <c r="L2" s="39"/>
      <c r="M2" s="8"/>
      <c r="N2" s="42"/>
      <c r="O2" s="8"/>
      <c r="P2" s="42"/>
      <c r="Q2" s="8"/>
      <c r="R2" s="42"/>
      <c r="S2" s="8"/>
      <c r="T2" s="42"/>
      <c r="U2" s="8"/>
    </row>
    <row r="3" spans="1:22" x14ac:dyDescent="0.15">
      <c r="A3" s="8"/>
      <c r="B3" s="8"/>
      <c r="C3" s="50" t="s">
        <v>25</v>
      </c>
      <c r="D3" s="45"/>
      <c r="E3" s="44" t="s">
        <v>23</v>
      </c>
      <c r="F3" s="45"/>
      <c r="G3" s="44" t="s">
        <v>7</v>
      </c>
      <c r="H3" s="45"/>
      <c r="I3" s="44" t="s">
        <v>14</v>
      </c>
      <c r="J3" s="45"/>
      <c r="K3" s="47" t="s">
        <v>30</v>
      </c>
      <c r="L3" s="45"/>
      <c r="M3" s="44" t="s">
        <v>11</v>
      </c>
      <c r="N3" s="45"/>
      <c r="O3" s="44" t="s">
        <v>10</v>
      </c>
      <c r="P3" s="45"/>
      <c r="Q3" s="44" t="s">
        <v>12</v>
      </c>
      <c r="R3" s="45"/>
      <c r="S3" s="44" t="s">
        <v>13</v>
      </c>
      <c r="T3" s="45"/>
      <c r="U3" s="9" t="s">
        <v>6</v>
      </c>
      <c r="V3" s="3" t="s">
        <v>36</v>
      </c>
    </row>
    <row r="4" spans="1:22" x14ac:dyDescent="0.15">
      <c r="A4" s="8"/>
      <c r="B4" s="8"/>
      <c r="C4" s="50" t="s">
        <v>24</v>
      </c>
      <c r="D4" s="45"/>
      <c r="E4" s="44" t="s">
        <v>9</v>
      </c>
      <c r="F4" s="45"/>
      <c r="G4" s="44" t="s">
        <v>17</v>
      </c>
      <c r="H4" s="45"/>
      <c r="I4" s="44" t="s">
        <v>18</v>
      </c>
      <c r="J4" s="45"/>
      <c r="K4" s="44" t="s">
        <v>29</v>
      </c>
      <c r="L4" s="45"/>
      <c r="M4" s="44" t="s">
        <v>15</v>
      </c>
      <c r="N4" s="45"/>
      <c r="O4" s="44" t="s">
        <v>15</v>
      </c>
      <c r="P4" s="45"/>
      <c r="Q4" s="44" t="s">
        <v>15</v>
      </c>
      <c r="R4" s="45"/>
      <c r="S4" s="44" t="s">
        <v>16</v>
      </c>
      <c r="T4" s="45"/>
      <c r="U4" s="9"/>
    </row>
    <row r="5" spans="1:22" x14ac:dyDescent="0.15">
      <c r="A5" s="8"/>
      <c r="B5" s="8"/>
      <c r="C5" s="50" t="s">
        <v>26</v>
      </c>
      <c r="D5" s="45"/>
      <c r="E5" s="46" t="s">
        <v>21</v>
      </c>
      <c r="F5" s="45"/>
      <c r="G5" s="46" t="s">
        <v>21</v>
      </c>
      <c r="H5" s="45"/>
      <c r="I5" s="46">
        <v>2007</v>
      </c>
      <c r="J5" s="45"/>
      <c r="K5" s="44" t="s">
        <v>42</v>
      </c>
      <c r="L5" s="45"/>
      <c r="M5" s="46" t="s">
        <v>22</v>
      </c>
      <c r="N5" s="45"/>
      <c r="O5" s="46" t="s">
        <v>22</v>
      </c>
      <c r="P5" s="45"/>
      <c r="Q5" s="46" t="s">
        <v>22</v>
      </c>
      <c r="R5" s="45"/>
      <c r="S5" s="46" t="s">
        <v>22</v>
      </c>
      <c r="T5" s="45"/>
      <c r="U5" s="9"/>
    </row>
    <row r="6" spans="1:22" x14ac:dyDescent="0.15">
      <c r="A6" s="8"/>
      <c r="B6" s="8"/>
      <c r="C6" s="21" t="s">
        <v>39</v>
      </c>
      <c r="D6" s="21" t="s">
        <v>47</v>
      </c>
      <c r="E6" s="8" t="s">
        <v>40</v>
      </c>
      <c r="F6" s="35" t="s">
        <v>47</v>
      </c>
      <c r="G6" s="8" t="s">
        <v>40</v>
      </c>
      <c r="H6" s="38" t="s">
        <v>47</v>
      </c>
      <c r="I6" s="8" t="s">
        <v>40</v>
      </c>
      <c r="J6" s="39" t="s">
        <v>47</v>
      </c>
      <c r="K6" s="21" t="s">
        <v>39</v>
      </c>
      <c r="L6" s="39" t="s">
        <v>47</v>
      </c>
      <c r="M6" s="8" t="s">
        <v>40</v>
      </c>
      <c r="N6" s="42" t="s">
        <v>47</v>
      </c>
      <c r="O6" s="8" t="s">
        <v>40</v>
      </c>
      <c r="P6" s="42" t="s">
        <v>47</v>
      </c>
      <c r="Q6" s="8" t="s">
        <v>40</v>
      </c>
      <c r="R6" s="42" t="s">
        <v>47</v>
      </c>
      <c r="S6" s="8" t="s">
        <v>40</v>
      </c>
      <c r="T6" s="42" t="s">
        <v>47</v>
      </c>
      <c r="U6" s="9"/>
    </row>
    <row r="7" spans="1:22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  <c r="V7" s="5"/>
    </row>
    <row r="8" spans="1:22" x14ac:dyDescent="0.15">
      <c r="A8" s="8"/>
      <c r="B8" s="8"/>
      <c r="E8" s="8"/>
      <c r="F8" s="8"/>
      <c r="G8" s="8"/>
      <c r="H8" s="38"/>
      <c r="I8" s="8"/>
      <c r="J8" s="39"/>
      <c r="K8" s="8"/>
      <c r="L8" s="39"/>
      <c r="M8" s="8"/>
      <c r="N8" s="42"/>
      <c r="O8" s="8"/>
      <c r="P8" s="42"/>
      <c r="Q8" s="8"/>
      <c r="R8" s="42"/>
      <c r="S8" s="8"/>
      <c r="T8" s="42"/>
      <c r="U8" s="9"/>
    </row>
    <row r="9" spans="1:22" x14ac:dyDescent="0.15">
      <c r="A9" s="12" t="s">
        <v>20</v>
      </c>
      <c r="B9" s="8"/>
      <c r="E9" s="8"/>
      <c r="F9" s="8"/>
      <c r="G9" s="8"/>
      <c r="H9" s="38"/>
      <c r="I9" s="8"/>
      <c r="J9" s="39"/>
      <c r="K9" s="8"/>
      <c r="L9" s="39"/>
      <c r="M9" s="8"/>
      <c r="N9" s="42"/>
      <c r="O9" s="8"/>
      <c r="P9" s="42"/>
      <c r="Q9" s="8"/>
      <c r="R9" s="42"/>
      <c r="S9" s="8"/>
      <c r="T9" s="42"/>
      <c r="U9" s="9"/>
    </row>
    <row r="10" spans="1:22" x14ac:dyDescent="0.15">
      <c r="A10" s="12"/>
      <c r="B10" s="8"/>
      <c r="E10" s="8"/>
      <c r="F10" s="8"/>
      <c r="G10" s="8"/>
      <c r="H10" s="38"/>
      <c r="I10" s="8"/>
      <c r="J10" s="39"/>
      <c r="K10" s="8"/>
      <c r="L10" s="39"/>
      <c r="M10" s="8"/>
      <c r="N10" s="42"/>
      <c r="O10" s="8"/>
      <c r="P10" s="42"/>
      <c r="Q10" s="8"/>
      <c r="R10" s="42"/>
      <c r="S10" s="8"/>
      <c r="T10" s="42"/>
      <c r="U10" s="9"/>
    </row>
    <row r="11" spans="1:22" x14ac:dyDescent="0.15">
      <c r="A11" s="27" t="s">
        <v>0</v>
      </c>
      <c r="B11" s="27" t="s">
        <v>0</v>
      </c>
      <c r="C11" s="28">
        <v>75</v>
      </c>
      <c r="D11" s="28">
        <v>281</v>
      </c>
      <c r="E11" s="29">
        <v>65</v>
      </c>
      <c r="F11" s="29">
        <v>371</v>
      </c>
      <c r="G11" s="29">
        <v>58</v>
      </c>
      <c r="H11" s="29">
        <v>506</v>
      </c>
      <c r="I11" s="29">
        <v>8</v>
      </c>
      <c r="J11" s="29">
        <v>129</v>
      </c>
      <c r="K11" s="29">
        <v>2</v>
      </c>
      <c r="L11" s="29">
        <v>22</v>
      </c>
      <c r="M11" s="29">
        <v>29</v>
      </c>
      <c r="N11" s="29">
        <v>80</v>
      </c>
      <c r="O11" s="29">
        <v>35</v>
      </c>
      <c r="P11" s="29">
        <v>72</v>
      </c>
      <c r="Q11" s="29">
        <v>0</v>
      </c>
      <c r="R11" s="29">
        <v>96</v>
      </c>
      <c r="S11" s="29">
        <v>1</v>
      </c>
      <c r="T11" s="29">
        <v>65</v>
      </c>
      <c r="U11" s="9"/>
    </row>
    <row r="12" spans="1:22" x14ac:dyDescent="0.15">
      <c r="A12" s="27" t="s">
        <v>1</v>
      </c>
      <c r="B12" s="27" t="s">
        <v>1</v>
      </c>
      <c r="C12" s="28">
        <v>28</v>
      </c>
      <c r="D12" s="28">
        <v>88</v>
      </c>
      <c r="E12" s="29">
        <v>20</v>
      </c>
      <c r="F12" s="29">
        <v>50</v>
      </c>
      <c r="G12" s="29">
        <v>31</v>
      </c>
      <c r="H12" s="29">
        <v>259</v>
      </c>
      <c r="I12" s="29">
        <v>0</v>
      </c>
      <c r="J12" s="29">
        <v>19</v>
      </c>
      <c r="K12" s="29">
        <v>5</v>
      </c>
      <c r="L12" s="29">
        <v>17</v>
      </c>
      <c r="M12" s="29">
        <v>5</v>
      </c>
      <c r="N12" s="29">
        <v>21</v>
      </c>
      <c r="O12" s="29">
        <v>0</v>
      </c>
      <c r="P12" s="29">
        <v>0</v>
      </c>
      <c r="Q12" s="29">
        <v>3</v>
      </c>
      <c r="R12" s="29">
        <v>0</v>
      </c>
      <c r="S12" s="29">
        <v>27</v>
      </c>
      <c r="T12" s="29">
        <v>126</v>
      </c>
      <c r="U12" s="9"/>
    </row>
    <row r="13" spans="1:22" x14ac:dyDescent="0.15">
      <c r="A13" s="27" t="s">
        <v>3</v>
      </c>
      <c r="B13" s="27" t="s">
        <v>3</v>
      </c>
      <c r="C13" s="28">
        <v>16</v>
      </c>
      <c r="D13" s="28">
        <v>58</v>
      </c>
      <c r="E13" s="29">
        <v>1</v>
      </c>
      <c r="F13" s="29">
        <v>32</v>
      </c>
      <c r="G13" s="29">
        <v>10</v>
      </c>
      <c r="H13" s="29">
        <v>23</v>
      </c>
      <c r="I13" s="29" t="s">
        <v>46</v>
      </c>
      <c r="J13" s="29" t="s">
        <v>46</v>
      </c>
      <c r="K13" s="29">
        <v>39</v>
      </c>
      <c r="L13" s="29">
        <v>204</v>
      </c>
      <c r="M13" s="29">
        <v>1</v>
      </c>
      <c r="N13" s="29">
        <v>5</v>
      </c>
      <c r="O13" s="29" t="s">
        <v>46</v>
      </c>
      <c r="P13" s="29" t="s">
        <v>46</v>
      </c>
      <c r="Q13" s="29">
        <v>1</v>
      </c>
      <c r="R13" s="29">
        <v>9</v>
      </c>
      <c r="S13" s="29">
        <v>0</v>
      </c>
      <c r="T13" s="29">
        <v>8</v>
      </c>
      <c r="U13" s="9"/>
    </row>
    <row r="14" spans="1:22" x14ac:dyDescent="0.15">
      <c r="A14" s="27" t="s">
        <v>2</v>
      </c>
      <c r="B14" s="27" t="s">
        <v>2</v>
      </c>
      <c r="C14" s="28">
        <v>29</v>
      </c>
      <c r="D14" s="28">
        <v>127</v>
      </c>
      <c r="E14" s="29">
        <v>17</v>
      </c>
      <c r="F14" s="29">
        <v>112</v>
      </c>
      <c r="G14" s="29">
        <v>1</v>
      </c>
      <c r="H14" s="29">
        <v>2</v>
      </c>
      <c r="I14" s="29" t="s">
        <v>46</v>
      </c>
      <c r="J14" s="29" t="s">
        <v>46</v>
      </c>
      <c r="K14" s="29" t="s">
        <v>46</v>
      </c>
      <c r="L14" s="29" t="s">
        <v>46</v>
      </c>
      <c r="M14" s="29">
        <v>3</v>
      </c>
      <c r="N14" s="29">
        <v>0</v>
      </c>
      <c r="O14" s="29">
        <v>2</v>
      </c>
      <c r="P14" s="29">
        <v>1</v>
      </c>
      <c r="Q14" s="29">
        <v>0</v>
      </c>
      <c r="R14" s="29">
        <v>3</v>
      </c>
      <c r="S14" s="29">
        <v>1</v>
      </c>
      <c r="T14" s="29">
        <v>3</v>
      </c>
      <c r="U14" s="9"/>
    </row>
    <row r="15" spans="1:22" x14ac:dyDescent="0.15">
      <c r="A15" s="27" t="s">
        <v>4</v>
      </c>
      <c r="B15" s="27" t="s">
        <v>4</v>
      </c>
      <c r="C15" s="28">
        <v>25</v>
      </c>
      <c r="D15" s="28">
        <v>85</v>
      </c>
      <c r="E15" s="29">
        <v>1</v>
      </c>
      <c r="F15" s="29">
        <v>12</v>
      </c>
      <c r="G15" s="29" t="s">
        <v>46</v>
      </c>
      <c r="H15" s="29" t="s">
        <v>46</v>
      </c>
      <c r="I15" s="29" t="s">
        <v>46</v>
      </c>
      <c r="J15" s="29" t="s">
        <v>46</v>
      </c>
      <c r="K15" s="29" t="s">
        <v>46</v>
      </c>
      <c r="L15" s="29" t="s">
        <v>46</v>
      </c>
      <c r="M15" s="29">
        <v>8</v>
      </c>
      <c r="N15" s="29">
        <v>22</v>
      </c>
      <c r="O15" s="29">
        <v>0</v>
      </c>
      <c r="P15" s="29">
        <v>3</v>
      </c>
      <c r="Q15" s="29" t="s">
        <v>46</v>
      </c>
      <c r="R15" s="29" t="s">
        <v>46</v>
      </c>
      <c r="S15" s="29">
        <v>5</v>
      </c>
      <c r="T15" s="29">
        <v>23</v>
      </c>
      <c r="U15" s="9"/>
    </row>
    <row r="16" spans="1:22" x14ac:dyDescent="0.15">
      <c r="A16" s="27" t="s">
        <v>31</v>
      </c>
      <c r="B16" s="27" t="s">
        <v>31</v>
      </c>
      <c r="C16" s="28" t="s">
        <v>46</v>
      </c>
      <c r="D16" s="36" t="s">
        <v>46</v>
      </c>
      <c r="E16" s="29" t="s">
        <v>46</v>
      </c>
      <c r="F16" s="29" t="s">
        <v>46</v>
      </c>
      <c r="G16" s="29" t="s">
        <v>46</v>
      </c>
      <c r="H16" s="29" t="s">
        <v>46</v>
      </c>
      <c r="I16" s="29" t="s">
        <v>46</v>
      </c>
      <c r="J16" s="29" t="s">
        <v>46</v>
      </c>
      <c r="K16" s="29">
        <v>17</v>
      </c>
      <c r="L16" s="29">
        <v>71</v>
      </c>
      <c r="M16" s="29" t="s">
        <v>46</v>
      </c>
      <c r="N16" s="29" t="s">
        <v>46</v>
      </c>
      <c r="O16" s="29" t="s">
        <v>46</v>
      </c>
      <c r="P16" s="29" t="s">
        <v>46</v>
      </c>
      <c r="Q16" s="29" t="s">
        <v>46</v>
      </c>
      <c r="R16" s="29" t="s">
        <v>46</v>
      </c>
      <c r="S16" s="29" t="s">
        <v>46</v>
      </c>
      <c r="T16" s="29" t="s">
        <v>46</v>
      </c>
      <c r="U16" s="9"/>
    </row>
    <row r="17" spans="1:22" x14ac:dyDescent="0.15">
      <c r="A17" s="13" t="s">
        <v>28</v>
      </c>
      <c r="B17" s="13" t="s">
        <v>28</v>
      </c>
      <c r="C17" s="20">
        <v>7</v>
      </c>
      <c r="D17" s="20">
        <v>25</v>
      </c>
      <c r="E17" s="8">
        <v>0</v>
      </c>
      <c r="F17" s="8">
        <v>1</v>
      </c>
      <c r="G17" s="8" t="s">
        <v>46</v>
      </c>
      <c r="H17" s="38" t="s">
        <v>46</v>
      </c>
      <c r="I17" s="8" t="s">
        <v>46</v>
      </c>
      <c r="J17" s="39" t="s">
        <v>46</v>
      </c>
      <c r="K17" s="8" t="s">
        <v>46</v>
      </c>
      <c r="L17" s="39" t="s">
        <v>46</v>
      </c>
      <c r="M17" s="8" t="s">
        <v>46</v>
      </c>
      <c r="N17" s="42" t="s">
        <v>46</v>
      </c>
      <c r="O17" s="8" t="s">
        <v>46</v>
      </c>
      <c r="P17" s="42" t="s">
        <v>46</v>
      </c>
      <c r="Q17" s="8" t="s">
        <v>46</v>
      </c>
      <c r="R17" s="42" t="s">
        <v>46</v>
      </c>
      <c r="S17" s="8">
        <v>0</v>
      </c>
      <c r="T17" s="42">
        <v>1</v>
      </c>
      <c r="U17" s="9"/>
    </row>
    <row r="18" spans="1:22" x14ac:dyDescent="0.15">
      <c r="A18" s="13" t="s">
        <v>27</v>
      </c>
      <c r="B18" s="13" t="s">
        <v>27</v>
      </c>
      <c r="C18" s="20">
        <v>2</v>
      </c>
      <c r="D18" s="20">
        <v>7</v>
      </c>
      <c r="E18" s="8" t="s">
        <v>46</v>
      </c>
      <c r="F18" s="8" t="s">
        <v>46</v>
      </c>
      <c r="G18" s="8" t="s">
        <v>46</v>
      </c>
      <c r="H18" s="38" t="s">
        <v>46</v>
      </c>
      <c r="I18" s="8">
        <v>0</v>
      </c>
      <c r="J18" s="39">
        <v>6</v>
      </c>
      <c r="K18" s="8" t="s">
        <v>46</v>
      </c>
      <c r="L18" s="39" t="s">
        <v>46</v>
      </c>
      <c r="M18" s="8">
        <v>0</v>
      </c>
      <c r="N18" s="42">
        <v>1</v>
      </c>
      <c r="O18" s="8" t="s">
        <v>46</v>
      </c>
      <c r="P18" s="42" t="s">
        <v>46</v>
      </c>
      <c r="Q18" s="8" t="s">
        <v>46</v>
      </c>
      <c r="R18" s="42" t="s">
        <v>46</v>
      </c>
      <c r="S18" s="8">
        <v>0</v>
      </c>
      <c r="T18" s="42">
        <v>1</v>
      </c>
      <c r="U18" s="9"/>
    </row>
    <row r="19" spans="1:22" x14ac:dyDescent="0.15">
      <c r="A19" s="13" t="s">
        <v>5</v>
      </c>
      <c r="B19" s="13" t="s">
        <v>5</v>
      </c>
      <c r="C19" s="20" t="s">
        <v>46</v>
      </c>
      <c r="D19" s="20" t="s">
        <v>46</v>
      </c>
      <c r="E19" s="8" t="s">
        <v>46</v>
      </c>
      <c r="F19" s="8" t="s">
        <v>46</v>
      </c>
      <c r="G19" s="8" t="s">
        <v>46</v>
      </c>
      <c r="H19" s="38" t="s">
        <v>46</v>
      </c>
      <c r="I19" s="8">
        <v>1</v>
      </c>
      <c r="J19" s="39">
        <v>22</v>
      </c>
      <c r="K19" s="8" t="s">
        <v>46</v>
      </c>
      <c r="L19" s="39" t="s">
        <v>46</v>
      </c>
      <c r="M19" s="8">
        <v>0</v>
      </c>
      <c r="N19" s="42">
        <v>1</v>
      </c>
      <c r="O19" s="8" t="s">
        <v>46</v>
      </c>
      <c r="P19" s="42" t="s">
        <v>46</v>
      </c>
      <c r="Q19" s="8" t="s">
        <v>46</v>
      </c>
      <c r="R19" s="42" t="s">
        <v>46</v>
      </c>
      <c r="S19" s="8" t="s">
        <v>46</v>
      </c>
      <c r="T19" s="42" t="s">
        <v>46</v>
      </c>
      <c r="U19" s="9"/>
    </row>
    <row r="20" spans="1:22" x14ac:dyDescent="0.15">
      <c r="A20" s="16" t="s">
        <v>32</v>
      </c>
      <c r="B20" s="16" t="s">
        <v>32</v>
      </c>
      <c r="C20" s="20" t="s">
        <v>46</v>
      </c>
      <c r="D20" s="20" t="s">
        <v>46</v>
      </c>
      <c r="E20" s="8" t="s">
        <v>46</v>
      </c>
      <c r="F20" s="8" t="s">
        <v>46</v>
      </c>
      <c r="G20" s="8">
        <v>0</v>
      </c>
      <c r="H20" s="38">
        <v>4</v>
      </c>
      <c r="I20" s="8" t="s">
        <v>46</v>
      </c>
      <c r="J20" s="39" t="s">
        <v>46</v>
      </c>
      <c r="K20" s="8">
        <v>1</v>
      </c>
      <c r="L20" s="42">
        <v>3</v>
      </c>
      <c r="M20" s="8">
        <v>0</v>
      </c>
      <c r="N20" s="42">
        <v>9</v>
      </c>
      <c r="O20" s="8" t="s">
        <v>46</v>
      </c>
      <c r="P20" s="42" t="s">
        <v>46</v>
      </c>
      <c r="Q20" s="8" t="s">
        <v>46</v>
      </c>
      <c r="R20" s="42" t="s">
        <v>46</v>
      </c>
      <c r="S20" s="8" t="s">
        <v>46</v>
      </c>
      <c r="T20" s="42" t="s">
        <v>46</v>
      </c>
      <c r="U20" s="9"/>
    </row>
    <row r="21" spans="1:22" x14ac:dyDescent="0.15">
      <c r="A21" s="13" t="s">
        <v>48</v>
      </c>
      <c r="B21" s="13" t="s">
        <v>48</v>
      </c>
      <c r="C21" s="37" t="s">
        <v>46</v>
      </c>
      <c r="D21" s="37" t="s">
        <v>46</v>
      </c>
      <c r="E21" s="38" t="s">
        <v>46</v>
      </c>
      <c r="F21" s="38" t="s">
        <v>46</v>
      </c>
      <c r="G21" s="38">
        <v>0</v>
      </c>
      <c r="H21" s="38">
        <v>2</v>
      </c>
      <c r="I21" s="38" t="s">
        <v>46</v>
      </c>
      <c r="J21" s="39" t="s">
        <v>46</v>
      </c>
      <c r="K21" s="38" t="s">
        <v>46</v>
      </c>
      <c r="L21" s="39" t="s">
        <v>46</v>
      </c>
      <c r="M21" s="38" t="s">
        <v>46</v>
      </c>
      <c r="N21" s="42" t="s">
        <v>46</v>
      </c>
      <c r="O21" s="38" t="s">
        <v>46</v>
      </c>
      <c r="P21" s="42" t="s">
        <v>46</v>
      </c>
      <c r="Q21" s="38">
        <v>0</v>
      </c>
      <c r="R21" s="42">
        <v>10</v>
      </c>
      <c r="S21" s="38" t="s">
        <v>46</v>
      </c>
      <c r="T21" s="42" t="s">
        <v>46</v>
      </c>
      <c r="U21" s="9"/>
    </row>
    <row r="22" spans="1:22" x14ac:dyDescent="0.15">
      <c r="A22" s="13" t="s">
        <v>33</v>
      </c>
      <c r="B22" s="13" t="s">
        <v>33</v>
      </c>
      <c r="C22" s="20" t="s">
        <v>46</v>
      </c>
      <c r="D22" s="20" t="s">
        <v>46</v>
      </c>
      <c r="E22" s="8" t="s">
        <v>46</v>
      </c>
      <c r="F22" s="8" t="s">
        <v>46</v>
      </c>
      <c r="G22" s="8" t="s">
        <v>46</v>
      </c>
      <c r="H22" s="38" t="s">
        <v>46</v>
      </c>
      <c r="I22" s="8" t="s">
        <v>46</v>
      </c>
      <c r="J22" s="39" t="s">
        <v>46</v>
      </c>
      <c r="K22" s="8">
        <v>1</v>
      </c>
      <c r="L22" s="39">
        <v>2</v>
      </c>
      <c r="M22" s="8" t="s">
        <v>46</v>
      </c>
      <c r="N22" s="42" t="s">
        <v>46</v>
      </c>
      <c r="O22" s="8" t="s">
        <v>46</v>
      </c>
      <c r="P22" s="42" t="s">
        <v>46</v>
      </c>
      <c r="Q22" s="8" t="s">
        <v>46</v>
      </c>
      <c r="R22" s="42" t="s">
        <v>46</v>
      </c>
      <c r="S22" s="8" t="s">
        <v>46</v>
      </c>
      <c r="T22" s="42" t="s">
        <v>46</v>
      </c>
      <c r="U22" s="9"/>
    </row>
    <row r="23" spans="1:22" s="3" customFormat="1" x14ac:dyDescent="0.15">
      <c r="A23" s="48" t="s">
        <v>19</v>
      </c>
      <c r="B23" s="49"/>
      <c r="C23" s="9">
        <f>SUM(C11:C22)</f>
        <v>182</v>
      </c>
      <c r="D23" s="9">
        <f>SUM(D11:D22)</f>
        <v>671</v>
      </c>
      <c r="E23" s="9">
        <f t="shared" ref="E23:R23" si="0">SUM(E11:E22)</f>
        <v>104</v>
      </c>
      <c r="F23" s="9">
        <f t="shared" si="0"/>
        <v>578</v>
      </c>
      <c r="G23" s="9">
        <f t="shared" si="0"/>
        <v>100</v>
      </c>
      <c r="H23" s="9">
        <f t="shared" si="0"/>
        <v>796</v>
      </c>
      <c r="I23" s="9">
        <f t="shared" si="0"/>
        <v>9</v>
      </c>
      <c r="J23" s="9">
        <f t="shared" si="0"/>
        <v>176</v>
      </c>
      <c r="K23" s="9">
        <f t="shared" si="0"/>
        <v>65</v>
      </c>
      <c r="L23" s="9">
        <f t="shared" si="0"/>
        <v>319</v>
      </c>
      <c r="M23" s="9">
        <f t="shared" si="0"/>
        <v>46</v>
      </c>
      <c r="N23" s="9">
        <f t="shared" si="0"/>
        <v>139</v>
      </c>
      <c r="O23" s="9">
        <f t="shared" si="0"/>
        <v>37</v>
      </c>
      <c r="P23" s="9">
        <f t="shared" si="0"/>
        <v>76</v>
      </c>
      <c r="Q23" s="9">
        <f t="shared" si="0"/>
        <v>4</v>
      </c>
      <c r="R23" s="9">
        <f t="shared" si="0"/>
        <v>118</v>
      </c>
      <c r="S23" s="9">
        <f>SUM(S11:S22)</f>
        <v>34</v>
      </c>
      <c r="T23" s="9">
        <f>SUM(T11:T22)</f>
        <v>227</v>
      </c>
      <c r="U23" s="9">
        <f>C23+E23+G23+I23+K23+M23+O23+Q23+S23</f>
        <v>581</v>
      </c>
    </row>
    <row r="24" spans="1:22" x14ac:dyDescent="0.15">
      <c r="A24" s="11"/>
      <c r="B24" s="11"/>
      <c r="E24" s="8"/>
      <c r="F24" s="8"/>
      <c r="G24" s="8"/>
      <c r="H24" s="38"/>
      <c r="I24" s="8"/>
      <c r="J24" s="39"/>
      <c r="K24" s="8"/>
      <c r="L24" s="39"/>
      <c r="M24" s="8"/>
      <c r="N24" s="42"/>
      <c r="O24" s="8"/>
      <c r="P24" s="42"/>
      <c r="Q24" s="8"/>
      <c r="R24" s="42"/>
      <c r="S24" s="8"/>
      <c r="T24" s="42"/>
      <c r="U24" s="9"/>
    </row>
    <row r="25" spans="1:22" x14ac:dyDescent="0.15">
      <c r="A25" s="12" t="s">
        <v>41</v>
      </c>
      <c r="B25" s="11"/>
      <c r="E25" s="8"/>
      <c r="F25" s="8"/>
      <c r="G25" s="8"/>
      <c r="H25" s="38"/>
      <c r="I25" s="8"/>
      <c r="J25" s="39"/>
      <c r="K25" s="8"/>
      <c r="L25" s="39"/>
      <c r="M25" s="8"/>
      <c r="N25" s="42"/>
      <c r="O25" s="8"/>
      <c r="P25" s="42"/>
      <c r="Q25" s="8"/>
      <c r="R25" s="42"/>
      <c r="S25" s="8"/>
      <c r="T25" s="42"/>
      <c r="U25" s="9"/>
    </row>
    <row r="26" spans="1:22" x14ac:dyDescent="0.15">
      <c r="A26" s="12"/>
      <c r="B26" s="11"/>
      <c r="E26" s="8"/>
      <c r="F26" s="8"/>
      <c r="G26" s="8"/>
      <c r="H26" s="38"/>
      <c r="I26" s="8"/>
      <c r="J26" s="39"/>
      <c r="K26" s="8"/>
      <c r="L26" s="39"/>
      <c r="M26" s="8"/>
      <c r="N26" s="42"/>
      <c r="O26" s="8"/>
      <c r="P26" s="42"/>
      <c r="Q26" s="8"/>
      <c r="R26" s="42"/>
      <c r="S26" s="8"/>
      <c r="T26" s="42"/>
      <c r="U26" s="9"/>
    </row>
    <row r="27" spans="1:22" x14ac:dyDescent="0.15">
      <c r="A27" s="27" t="s">
        <v>0</v>
      </c>
      <c r="B27" s="31" t="s">
        <v>1</v>
      </c>
      <c r="C27" s="28">
        <v>0</v>
      </c>
      <c r="D27" s="28"/>
      <c r="E27" s="29">
        <v>0</v>
      </c>
      <c r="F27" s="29"/>
      <c r="G27" s="29">
        <v>1</v>
      </c>
      <c r="H27" s="29"/>
      <c r="I27" s="29">
        <v>0</v>
      </c>
      <c r="J27" s="29"/>
      <c r="K27" s="29">
        <v>0</v>
      </c>
      <c r="L27" s="29"/>
      <c r="M27" s="29">
        <v>1</v>
      </c>
      <c r="N27" s="29"/>
      <c r="O27" s="29">
        <v>0</v>
      </c>
      <c r="P27" s="29"/>
      <c r="Q27" s="29">
        <v>0</v>
      </c>
      <c r="R27" s="29"/>
      <c r="S27" s="29">
        <v>0</v>
      </c>
      <c r="T27" s="29"/>
      <c r="U27" s="30">
        <f>SUM(C27:S27)</f>
        <v>2</v>
      </c>
      <c r="V27" s="32"/>
    </row>
    <row r="28" spans="1:22" x14ac:dyDescent="0.15">
      <c r="A28" s="27" t="s">
        <v>0</v>
      </c>
      <c r="B28" s="33" t="s">
        <v>3</v>
      </c>
      <c r="C28" s="28">
        <v>3</v>
      </c>
      <c r="D28" s="28"/>
      <c r="E28" s="29">
        <v>0</v>
      </c>
      <c r="F28" s="29"/>
      <c r="G28" s="29">
        <v>0</v>
      </c>
      <c r="H28" s="29"/>
      <c r="I28" s="29" t="s">
        <v>46</v>
      </c>
      <c r="J28" s="29"/>
      <c r="K28" s="29">
        <v>0</v>
      </c>
      <c r="L28" s="29"/>
      <c r="M28" s="29">
        <v>0</v>
      </c>
      <c r="N28" s="29"/>
      <c r="O28" s="29" t="s">
        <v>46</v>
      </c>
      <c r="P28" s="29"/>
      <c r="Q28" s="29">
        <v>0</v>
      </c>
      <c r="R28" s="29"/>
      <c r="S28" s="29">
        <v>0</v>
      </c>
      <c r="T28" s="29"/>
      <c r="U28" s="30">
        <f t="shared" ref="U28:U43" si="1">SUM(C28:S28)</f>
        <v>3</v>
      </c>
      <c r="V28" s="32"/>
    </row>
    <row r="29" spans="1:22" x14ac:dyDescent="0.15">
      <c r="A29" s="27" t="s">
        <v>0</v>
      </c>
      <c r="B29" s="31" t="s">
        <v>2</v>
      </c>
      <c r="C29" s="28">
        <v>1</v>
      </c>
      <c r="D29" s="28"/>
      <c r="E29" s="29">
        <v>1</v>
      </c>
      <c r="F29" s="29"/>
      <c r="G29" s="29">
        <v>0</v>
      </c>
      <c r="H29" s="29"/>
      <c r="I29" s="29" t="s">
        <v>46</v>
      </c>
      <c r="J29" s="29"/>
      <c r="K29" s="29" t="s">
        <v>46</v>
      </c>
      <c r="L29" s="29"/>
      <c r="M29" s="29">
        <v>1</v>
      </c>
      <c r="N29" s="29"/>
      <c r="O29" s="29">
        <v>1</v>
      </c>
      <c r="P29" s="29"/>
      <c r="Q29" s="29">
        <v>0</v>
      </c>
      <c r="R29" s="29"/>
      <c r="S29" s="29">
        <v>0</v>
      </c>
      <c r="T29" s="29"/>
      <c r="U29" s="30">
        <f t="shared" si="1"/>
        <v>4</v>
      </c>
      <c r="V29" s="32"/>
    </row>
    <row r="30" spans="1:22" x14ac:dyDescent="0.15">
      <c r="A30" s="27" t="s">
        <v>0</v>
      </c>
      <c r="B30" s="31" t="s">
        <v>8</v>
      </c>
      <c r="C30" s="28">
        <v>0</v>
      </c>
      <c r="D30" s="28"/>
      <c r="E30" s="29">
        <v>0</v>
      </c>
      <c r="F30" s="29"/>
      <c r="G30" s="29" t="s">
        <v>46</v>
      </c>
      <c r="H30" s="29"/>
      <c r="I30" s="29" t="s">
        <v>46</v>
      </c>
      <c r="J30" s="29"/>
      <c r="K30" s="29" t="s">
        <v>46</v>
      </c>
      <c r="L30" s="29"/>
      <c r="M30" s="29">
        <v>0</v>
      </c>
      <c r="N30" s="29"/>
      <c r="O30" s="29">
        <v>0</v>
      </c>
      <c r="P30" s="29"/>
      <c r="Q30" s="29" t="s">
        <v>46</v>
      </c>
      <c r="R30" s="29"/>
      <c r="S30" s="29">
        <v>0</v>
      </c>
      <c r="T30" s="29"/>
      <c r="U30" s="30">
        <f t="shared" si="1"/>
        <v>0</v>
      </c>
      <c r="V30" s="32"/>
    </row>
    <row r="31" spans="1:22" x14ac:dyDescent="0.15">
      <c r="A31" s="27" t="s">
        <v>0</v>
      </c>
      <c r="B31" s="31" t="s">
        <v>31</v>
      </c>
      <c r="C31" s="28" t="s">
        <v>46</v>
      </c>
      <c r="D31" s="28"/>
      <c r="E31" s="29" t="s">
        <v>46</v>
      </c>
      <c r="F31" s="29"/>
      <c r="G31" s="29" t="s">
        <v>46</v>
      </c>
      <c r="H31" s="29"/>
      <c r="I31" s="29" t="s">
        <v>46</v>
      </c>
      <c r="J31" s="29"/>
      <c r="K31" s="29">
        <v>1</v>
      </c>
      <c r="L31" s="29"/>
      <c r="M31" s="29" t="s">
        <v>46</v>
      </c>
      <c r="N31" s="29"/>
      <c r="O31" s="29" t="s">
        <v>46</v>
      </c>
      <c r="P31" s="29"/>
      <c r="Q31" s="29" t="s">
        <v>46</v>
      </c>
      <c r="R31" s="29"/>
      <c r="S31" s="29">
        <v>0</v>
      </c>
      <c r="T31" s="29"/>
      <c r="U31" s="30">
        <f t="shared" si="1"/>
        <v>1</v>
      </c>
      <c r="V31" s="32"/>
    </row>
    <row r="32" spans="1:22" x14ac:dyDescent="0.15">
      <c r="A32" s="27" t="s">
        <v>1</v>
      </c>
      <c r="B32" s="33" t="s">
        <v>3</v>
      </c>
      <c r="C32" s="28">
        <v>0</v>
      </c>
      <c r="D32" s="28"/>
      <c r="E32" s="29">
        <v>0</v>
      </c>
      <c r="F32" s="29"/>
      <c r="G32" s="29">
        <v>0</v>
      </c>
      <c r="H32" s="29"/>
      <c r="I32" s="29" t="s">
        <v>46</v>
      </c>
      <c r="J32" s="29"/>
      <c r="K32" s="29">
        <v>0</v>
      </c>
      <c r="L32" s="29"/>
      <c r="M32" s="29">
        <v>0</v>
      </c>
      <c r="N32" s="29"/>
      <c r="O32" s="29" t="s">
        <v>46</v>
      </c>
      <c r="P32" s="29"/>
      <c r="Q32" s="29">
        <v>0</v>
      </c>
      <c r="R32" s="29"/>
      <c r="S32" s="29">
        <v>0</v>
      </c>
      <c r="T32" s="29"/>
      <c r="U32" s="30">
        <f t="shared" si="1"/>
        <v>0</v>
      </c>
      <c r="V32" s="32"/>
    </row>
    <row r="33" spans="1:22" x14ac:dyDescent="0.15">
      <c r="A33" s="27" t="s">
        <v>1</v>
      </c>
      <c r="B33" s="31" t="s">
        <v>2</v>
      </c>
      <c r="C33" s="28">
        <v>3</v>
      </c>
      <c r="D33" s="28"/>
      <c r="E33" s="29">
        <v>1</v>
      </c>
      <c r="F33" s="29"/>
      <c r="G33" s="29">
        <v>0</v>
      </c>
      <c r="H33" s="29"/>
      <c r="I33" s="29" t="s">
        <v>46</v>
      </c>
      <c r="J33" s="29"/>
      <c r="K33" s="29" t="s">
        <v>46</v>
      </c>
      <c r="L33" s="29"/>
      <c r="M33" s="29">
        <v>0</v>
      </c>
      <c r="N33" s="29"/>
      <c r="O33" s="29">
        <v>0</v>
      </c>
      <c r="P33" s="29"/>
      <c r="Q33" s="29">
        <v>0</v>
      </c>
      <c r="R33" s="29"/>
      <c r="S33" s="29">
        <v>0</v>
      </c>
      <c r="T33" s="29"/>
      <c r="U33" s="30">
        <f t="shared" si="1"/>
        <v>4</v>
      </c>
      <c r="V33" s="32"/>
    </row>
    <row r="34" spans="1:22" x14ac:dyDescent="0.15">
      <c r="A34" s="27" t="s">
        <v>1</v>
      </c>
      <c r="B34" s="31" t="s">
        <v>8</v>
      </c>
      <c r="C34" s="28">
        <v>0</v>
      </c>
      <c r="D34" s="28"/>
      <c r="E34" s="29">
        <v>0</v>
      </c>
      <c r="F34" s="29"/>
      <c r="G34" s="29" t="s">
        <v>46</v>
      </c>
      <c r="H34" s="29"/>
      <c r="I34" s="29" t="s">
        <v>46</v>
      </c>
      <c r="J34" s="29"/>
      <c r="K34" s="29" t="s">
        <v>46</v>
      </c>
      <c r="L34" s="29"/>
      <c r="M34" s="29">
        <v>0</v>
      </c>
      <c r="N34" s="29"/>
      <c r="O34" s="29">
        <v>1</v>
      </c>
      <c r="P34" s="29"/>
      <c r="Q34" s="29" t="s">
        <v>46</v>
      </c>
      <c r="R34" s="29"/>
      <c r="S34" s="29">
        <v>0</v>
      </c>
      <c r="T34" s="29"/>
      <c r="U34" s="30">
        <f t="shared" si="1"/>
        <v>1</v>
      </c>
      <c r="V34" s="32"/>
    </row>
    <row r="35" spans="1:22" x14ac:dyDescent="0.15">
      <c r="A35" s="27" t="s">
        <v>1</v>
      </c>
      <c r="B35" s="31" t="s">
        <v>31</v>
      </c>
      <c r="C35" s="28" t="s">
        <v>46</v>
      </c>
      <c r="D35" s="28"/>
      <c r="E35" s="34" t="s">
        <v>46</v>
      </c>
      <c r="F35" s="34"/>
      <c r="G35" s="34" t="s">
        <v>46</v>
      </c>
      <c r="H35" s="34"/>
      <c r="I35" s="34" t="s">
        <v>46</v>
      </c>
      <c r="J35" s="34"/>
      <c r="K35" s="34">
        <v>0</v>
      </c>
      <c r="L35" s="34"/>
      <c r="M35" s="34" t="s">
        <v>46</v>
      </c>
      <c r="N35" s="34"/>
      <c r="O35" s="34" t="s">
        <v>46</v>
      </c>
      <c r="P35" s="34"/>
      <c r="Q35" s="34" t="s">
        <v>46</v>
      </c>
      <c r="R35" s="34"/>
      <c r="S35" s="34" t="s">
        <v>46</v>
      </c>
      <c r="T35" s="34"/>
      <c r="U35" s="30">
        <f t="shared" si="1"/>
        <v>0</v>
      </c>
      <c r="V35" s="34"/>
    </row>
    <row r="36" spans="1:22" x14ac:dyDescent="0.15">
      <c r="A36" s="27" t="s">
        <v>3</v>
      </c>
      <c r="B36" s="31" t="s">
        <v>2</v>
      </c>
      <c r="C36" s="28">
        <v>0</v>
      </c>
      <c r="D36" s="28"/>
      <c r="E36" s="34">
        <v>0</v>
      </c>
      <c r="F36" s="34"/>
      <c r="G36" s="34">
        <v>0</v>
      </c>
      <c r="H36" s="34"/>
      <c r="I36" s="34" t="s">
        <v>46</v>
      </c>
      <c r="J36" s="34"/>
      <c r="K36" s="34" t="s">
        <v>46</v>
      </c>
      <c r="L36" s="34"/>
      <c r="M36" s="34">
        <v>0</v>
      </c>
      <c r="N36" s="34"/>
      <c r="O36" s="34" t="s">
        <v>46</v>
      </c>
      <c r="P36" s="34"/>
      <c r="Q36" s="34">
        <v>0</v>
      </c>
      <c r="R36" s="34"/>
      <c r="S36" s="34">
        <v>0</v>
      </c>
      <c r="T36" s="34"/>
      <c r="U36" s="30">
        <f t="shared" si="1"/>
        <v>0</v>
      </c>
      <c r="V36" s="34"/>
    </row>
    <row r="37" spans="1:22" x14ac:dyDescent="0.15">
      <c r="A37" s="27" t="s">
        <v>3</v>
      </c>
      <c r="B37" s="31" t="s">
        <v>8</v>
      </c>
      <c r="C37" s="28">
        <v>0</v>
      </c>
      <c r="D37" s="28"/>
      <c r="E37" s="34">
        <v>0</v>
      </c>
      <c r="F37" s="34"/>
      <c r="G37" s="34" t="s">
        <v>46</v>
      </c>
      <c r="H37" s="34"/>
      <c r="I37" s="34" t="s">
        <v>46</v>
      </c>
      <c r="J37" s="34"/>
      <c r="K37" s="34" t="s">
        <v>46</v>
      </c>
      <c r="L37" s="34"/>
      <c r="M37" s="34">
        <v>0</v>
      </c>
      <c r="N37" s="34"/>
      <c r="O37" s="34" t="s">
        <v>46</v>
      </c>
      <c r="P37" s="34"/>
      <c r="Q37" s="34" t="s">
        <v>46</v>
      </c>
      <c r="R37" s="34"/>
      <c r="S37" s="34">
        <v>0</v>
      </c>
      <c r="T37" s="34"/>
      <c r="U37" s="30">
        <f t="shared" si="1"/>
        <v>0</v>
      </c>
      <c r="V37" s="34"/>
    </row>
    <row r="38" spans="1:22" x14ac:dyDescent="0.15">
      <c r="A38" s="27" t="s">
        <v>3</v>
      </c>
      <c r="B38" s="31" t="s">
        <v>31</v>
      </c>
      <c r="C38" s="28" t="s">
        <v>46</v>
      </c>
      <c r="D38" s="28"/>
      <c r="E38" s="34" t="s">
        <v>46</v>
      </c>
      <c r="F38" s="34"/>
      <c r="G38" s="34" t="s">
        <v>46</v>
      </c>
      <c r="H38" s="34"/>
      <c r="I38" s="34" t="s">
        <v>46</v>
      </c>
      <c r="J38" s="34"/>
      <c r="K38" s="34">
        <v>0</v>
      </c>
      <c r="L38" s="34"/>
      <c r="M38" s="34" t="s">
        <v>46</v>
      </c>
      <c r="N38" s="34"/>
      <c r="O38" s="34" t="s">
        <v>46</v>
      </c>
      <c r="P38" s="34"/>
      <c r="Q38" s="34" t="s">
        <v>46</v>
      </c>
      <c r="R38" s="34"/>
      <c r="S38" s="34" t="s">
        <v>46</v>
      </c>
      <c r="T38" s="34"/>
      <c r="U38" s="30">
        <f t="shared" si="1"/>
        <v>0</v>
      </c>
      <c r="V38" s="34"/>
    </row>
    <row r="39" spans="1:22" x14ac:dyDescent="0.15">
      <c r="A39" s="27" t="s">
        <v>2</v>
      </c>
      <c r="B39" s="31" t="s">
        <v>8</v>
      </c>
      <c r="C39" s="28">
        <v>0</v>
      </c>
      <c r="D39" s="28"/>
      <c r="E39" s="34">
        <v>0</v>
      </c>
      <c r="F39" s="34"/>
      <c r="G39" s="34" t="s">
        <v>46</v>
      </c>
      <c r="H39" s="34"/>
      <c r="I39" s="34" t="s">
        <v>46</v>
      </c>
      <c r="J39" s="34"/>
      <c r="K39" s="34" t="s">
        <v>46</v>
      </c>
      <c r="L39" s="34"/>
      <c r="M39" s="34">
        <v>0</v>
      </c>
      <c r="N39" s="34"/>
      <c r="O39" s="34">
        <v>0</v>
      </c>
      <c r="P39" s="34"/>
      <c r="Q39" s="34" t="s">
        <v>46</v>
      </c>
      <c r="R39" s="34"/>
      <c r="S39" s="34">
        <v>0</v>
      </c>
      <c r="T39" s="34"/>
      <c r="U39" s="30">
        <f t="shared" si="1"/>
        <v>0</v>
      </c>
      <c r="V39" s="34"/>
    </row>
    <row r="40" spans="1:22" x14ac:dyDescent="0.15">
      <c r="A40" s="27" t="s">
        <v>2</v>
      </c>
      <c r="B40" s="31" t="s">
        <v>31</v>
      </c>
      <c r="C40" s="28" t="s">
        <v>46</v>
      </c>
      <c r="D40" s="28"/>
      <c r="E40" s="34" t="s">
        <v>46</v>
      </c>
      <c r="F40" s="34"/>
      <c r="G40" s="34" t="s">
        <v>46</v>
      </c>
      <c r="H40" s="34"/>
      <c r="I40" s="34" t="s">
        <v>46</v>
      </c>
      <c r="J40" s="34"/>
      <c r="K40" s="34" t="s">
        <v>46</v>
      </c>
      <c r="L40" s="34"/>
      <c r="M40" s="34" t="s">
        <v>46</v>
      </c>
      <c r="N40" s="34"/>
      <c r="O40" s="34" t="s">
        <v>46</v>
      </c>
      <c r="P40" s="34"/>
      <c r="Q40" s="34" t="s">
        <v>46</v>
      </c>
      <c r="R40" s="34"/>
      <c r="S40" s="34" t="s">
        <v>46</v>
      </c>
      <c r="T40" s="34"/>
      <c r="U40" s="30">
        <f t="shared" si="1"/>
        <v>0</v>
      </c>
      <c r="V40" s="34"/>
    </row>
    <row r="41" spans="1:22" x14ac:dyDescent="0.15">
      <c r="A41" s="27" t="s">
        <v>8</v>
      </c>
      <c r="B41" s="31" t="s">
        <v>31</v>
      </c>
      <c r="C41" s="28" t="s">
        <v>46</v>
      </c>
      <c r="D41" s="28"/>
      <c r="E41" s="34" t="s">
        <v>46</v>
      </c>
      <c r="F41" s="34"/>
      <c r="G41" s="34" t="s">
        <v>46</v>
      </c>
      <c r="H41" s="34"/>
      <c r="I41" s="34" t="s">
        <v>46</v>
      </c>
      <c r="J41" s="34"/>
      <c r="K41" s="34" t="s">
        <v>46</v>
      </c>
      <c r="L41" s="34"/>
      <c r="M41" s="34" t="s">
        <v>46</v>
      </c>
      <c r="N41" s="34"/>
      <c r="O41" s="34" t="s">
        <v>46</v>
      </c>
      <c r="P41" s="34"/>
      <c r="Q41" s="34" t="s">
        <v>46</v>
      </c>
      <c r="R41" s="34"/>
      <c r="S41" s="34" t="s">
        <v>46</v>
      </c>
      <c r="T41" s="34"/>
      <c r="U41" s="30">
        <f t="shared" si="1"/>
        <v>0</v>
      </c>
      <c r="V41" s="34"/>
    </row>
    <row r="42" spans="1:22" x14ac:dyDescent="0.15">
      <c r="A42" s="27" t="s">
        <v>28</v>
      </c>
      <c r="B42" s="31" t="s">
        <v>1</v>
      </c>
      <c r="C42" s="28">
        <v>0</v>
      </c>
      <c r="D42" s="28"/>
      <c r="E42" s="34">
        <v>1</v>
      </c>
      <c r="F42" s="34"/>
      <c r="G42" s="34">
        <v>0</v>
      </c>
      <c r="H42" s="34"/>
      <c r="I42" s="34" t="s">
        <v>46</v>
      </c>
      <c r="J42" s="34"/>
      <c r="K42" s="34" t="s">
        <v>46</v>
      </c>
      <c r="L42" s="34"/>
      <c r="M42" s="34" t="s">
        <v>46</v>
      </c>
      <c r="N42" s="34"/>
      <c r="O42" s="34" t="s">
        <v>46</v>
      </c>
      <c r="P42" s="34"/>
      <c r="Q42" s="34" t="s">
        <v>46</v>
      </c>
      <c r="R42" s="34"/>
      <c r="S42" s="34">
        <v>0</v>
      </c>
      <c r="T42" s="34"/>
      <c r="U42" s="30">
        <f t="shared" si="1"/>
        <v>1</v>
      </c>
      <c r="V42" s="34"/>
    </row>
    <row r="43" spans="1:22" x14ac:dyDescent="0.15">
      <c r="A43" s="14" t="s">
        <v>32</v>
      </c>
      <c r="B43" s="10" t="s">
        <v>1</v>
      </c>
      <c r="C43" s="20" t="s">
        <v>46</v>
      </c>
      <c r="E43" s="8" t="s">
        <v>46</v>
      </c>
      <c r="F43" s="8"/>
      <c r="G43" s="8">
        <v>0</v>
      </c>
      <c r="H43" s="38"/>
      <c r="I43" s="8" t="s">
        <v>46</v>
      </c>
      <c r="J43" s="39"/>
      <c r="K43" s="8">
        <v>0</v>
      </c>
      <c r="L43" s="39"/>
      <c r="M43" s="8" t="s">
        <v>46</v>
      </c>
      <c r="N43" s="42"/>
      <c r="O43" s="8" t="s">
        <v>46</v>
      </c>
      <c r="P43" s="42"/>
      <c r="Q43" s="8">
        <v>0</v>
      </c>
      <c r="R43" s="42"/>
      <c r="S43" s="8" t="s">
        <v>46</v>
      </c>
      <c r="T43" s="42"/>
      <c r="U43" s="51">
        <f t="shared" si="1"/>
        <v>0</v>
      </c>
      <c r="V43" s="24"/>
    </row>
    <row r="44" spans="1:22" s="3" customFormat="1" x14ac:dyDescent="0.15">
      <c r="A44" s="48" t="s">
        <v>19</v>
      </c>
      <c r="B44" s="49"/>
      <c r="C44" s="9">
        <f>SUM(C27:C43)</f>
        <v>7</v>
      </c>
      <c r="D44" s="9"/>
      <c r="E44" s="9">
        <f t="shared" ref="E44:U44" si="2">SUM(E27:E43)</f>
        <v>3</v>
      </c>
      <c r="F44" s="9"/>
      <c r="G44" s="9">
        <f t="shared" si="2"/>
        <v>1</v>
      </c>
      <c r="H44" s="9"/>
      <c r="I44" s="9">
        <f t="shared" si="2"/>
        <v>0</v>
      </c>
      <c r="J44" s="9"/>
      <c r="K44" s="9">
        <f t="shared" si="2"/>
        <v>1</v>
      </c>
      <c r="L44" s="9"/>
      <c r="M44" s="9">
        <f t="shared" si="2"/>
        <v>2</v>
      </c>
      <c r="N44" s="9"/>
      <c r="O44" s="9">
        <f t="shared" si="2"/>
        <v>2</v>
      </c>
      <c r="P44" s="9"/>
      <c r="Q44" s="9">
        <f t="shared" si="2"/>
        <v>0</v>
      </c>
      <c r="R44" s="9"/>
      <c r="S44" s="9">
        <f t="shared" si="2"/>
        <v>0</v>
      </c>
      <c r="T44" s="9"/>
      <c r="U44" s="9">
        <f>SUM(U27:U43)</f>
        <v>16</v>
      </c>
      <c r="V44" s="24"/>
    </row>
    <row r="45" spans="1:22" s="3" customFormat="1" x14ac:dyDescent="0.15">
      <c r="A45" s="15" t="s">
        <v>36</v>
      </c>
      <c r="B45" s="16"/>
      <c r="C45" s="22">
        <f>C44/(C23+C44)*100</f>
        <v>3.7037037037037033</v>
      </c>
      <c r="D45" s="22"/>
      <c r="E45" s="22">
        <f t="shared" ref="E45:U45" si="3">E44/(E23+E44)*100</f>
        <v>2.8037383177570092</v>
      </c>
      <c r="F45" s="22"/>
      <c r="G45" s="22">
        <f t="shared" si="3"/>
        <v>0.99009900990099009</v>
      </c>
      <c r="H45" s="22"/>
      <c r="I45" s="22">
        <f t="shared" si="3"/>
        <v>0</v>
      </c>
      <c r="J45" s="22"/>
      <c r="K45" s="22">
        <f>K44/(K23+K44)*100</f>
        <v>1.5151515151515151</v>
      </c>
      <c r="L45" s="22"/>
      <c r="M45" s="22">
        <f t="shared" si="3"/>
        <v>4.1666666666666661</v>
      </c>
      <c r="N45" s="22"/>
      <c r="O45" s="22">
        <f t="shared" si="3"/>
        <v>5.1282051282051277</v>
      </c>
      <c r="P45" s="22"/>
      <c r="Q45" s="22">
        <f t="shared" si="3"/>
        <v>0</v>
      </c>
      <c r="R45" s="22"/>
      <c r="S45" s="22">
        <f t="shared" si="3"/>
        <v>0</v>
      </c>
      <c r="T45" s="22"/>
      <c r="U45" s="22">
        <f>U44/(U23+U44)*100</f>
        <v>2.6800670016750421</v>
      </c>
    </row>
    <row r="46" spans="1:22" s="3" customFormat="1" x14ac:dyDescent="0.15">
      <c r="A46" s="18"/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spans="1:22" s="3" customFormat="1" x14ac:dyDescent="0.15">
      <c r="A47" s="12" t="s">
        <v>43</v>
      </c>
      <c r="B47" s="11"/>
      <c r="C47" s="20"/>
      <c r="D47" s="20"/>
      <c r="E47" s="8"/>
      <c r="F47" s="8"/>
      <c r="G47" s="8"/>
      <c r="H47" s="38"/>
      <c r="I47" s="8"/>
      <c r="J47" s="39"/>
      <c r="K47" s="8"/>
      <c r="L47" s="39"/>
      <c r="M47" s="8"/>
      <c r="N47" s="42"/>
      <c r="O47" s="8"/>
      <c r="P47" s="42"/>
      <c r="Q47" s="8"/>
      <c r="R47" s="42"/>
      <c r="S47" s="8"/>
      <c r="T47" s="42"/>
      <c r="U47" s="9"/>
    </row>
    <row r="48" spans="1:22" s="3" customFormat="1" x14ac:dyDescent="0.15">
      <c r="A48" s="12"/>
      <c r="B48" s="11"/>
      <c r="C48" s="20"/>
      <c r="D48" s="20"/>
      <c r="E48" s="8"/>
      <c r="F48" s="8"/>
      <c r="G48" s="8"/>
      <c r="H48" s="38"/>
      <c r="I48" s="8"/>
      <c r="J48" s="39"/>
      <c r="K48" s="8"/>
      <c r="L48" s="39"/>
      <c r="M48" s="8"/>
      <c r="N48" s="42"/>
      <c r="O48" s="8"/>
      <c r="P48" s="42"/>
      <c r="Q48" s="8"/>
      <c r="R48" s="42"/>
      <c r="S48" s="8"/>
      <c r="T48" s="42"/>
      <c r="U48" s="9"/>
    </row>
    <row r="49" spans="1:22" s="3" customFormat="1" x14ac:dyDescent="0.15">
      <c r="A49" s="13" t="s">
        <v>0</v>
      </c>
      <c r="B49" s="2"/>
      <c r="C49" s="20">
        <v>4</v>
      </c>
      <c r="D49" s="20"/>
      <c r="E49" s="8">
        <v>1</v>
      </c>
      <c r="F49" s="8"/>
      <c r="G49" s="8">
        <v>1</v>
      </c>
      <c r="H49" s="38"/>
      <c r="I49" s="8">
        <v>0</v>
      </c>
      <c r="J49" s="39"/>
      <c r="K49" s="8">
        <v>1</v>
      </c>
      <c r="L49" s="39"/>
      <c r="M49" s="8">
        <v>2</v>
      </c>
      <c r="N49" s="42"/>
      <c r="O49" s="8">
        <v>1</v>
      </c>
      <c r="P49" s="42"/>
      <c r="Q49" s="8">
        <v>0</v>
      </c>
      <c r="R49" s="42"/>
      <c r="S49" s="8">
        <v>0</v>
      </c>
      <c r="T49" s="42"/>
      <c r="U49" s="9">
        <f>SUM(C49:S49)</f>
        <v>10</v>
      </c>
      <c r="V49" s="24">
        <f>U49/(2*U11+U49)*100</f>
        <v>100</v>
      </c>
    </row>
    <row r="50" spans="1:22" s="3" customFormat="1" x14ac:dyDescent="0.15">
      <c r="A50" s="13" t="s">
        <v>1</v>
      </c>
      <c r="B50" s="10"/>
      <c r="C50" s="20">
        <v>3</v>
      </c>
      <c r="D50" s="20"/>
      <c r="E50" s="8">
        <v>2</v>
      </c>
      <c r="F50" s="8"/>
      <c r="G50" s="8">
        <v>1</v>
      </c>
      <c r="H50" s="38"/>
      <c r="I50" s="8">
        <v>0</v>
      </c>
      <c r="J50" s="39"/>
      <c r="K50" s="8">
        <v>0</v>
      </c>
      <c r="L50" s="39"/>
      <c r="M50" s="8">
        <v>1</v>
      </c>
      <c r="N50" s="42"/>
      <c r="O50" s="8">
        <v>1</v>
      </c>
      <c r="P50" s="42"/>
      <c r="Q50" s="8">
        <v>0</v>
      </c>
      <c r="R50" s="42"/>
      <c r="S50" s="8">
        <v>0</v>
      </c>
      <c r="T50" s="42"/>
      <c r="U50" s="9">
        <f t="shared" ref="U50:U56" si="4">SUM(C50:S50)</f>
        <v>8</v>
      </c>
      <c r="V50" s="24">
        <f>U50/(2*U12+U50)*100</f>
        <v>100</v>
      </c>
    </row>
    <row r="51" spans="1:22" s="3" customFormat="1" x14ac:dyDescent="0.15">
      <c r="A51" s="13" t="s">
        <v>2</v>
      </c>
      <c r="B51" s="10"/>
      <c r="C51" s="20">
        <v>4</v>
      </c>
      <c r="D51" s="20"/>
      <c r="E51" s="8">
        <v>2</v>
      </c>
      <c r="F51" s="8"/>
      <c r="G51" s="8">
        <v>0</v>
      </c>
      <c r="H51" s="38"/>
      <c r="I51" s="8">
        <v>0</v>
      </c>
      <c r="J51" s="39"/>
      <c r="K51" s="8">
        <v>0</v>
      </c>
      <c r="L51" s="39"/>
      <c r="M51" s="8">
        <v>1</v>
      </c>
      <c r="N51" s="42"/>
      <c r="O51" s="8">
        <v>1</v>
      </c>
      <c r="P51" s="42"/>
      <c r="Q51" s="8">
        <v>0</v>
      </c>
      <c r="R51" s="42"/>
      <c r="S51" s="8">
        <v>0</v>
      </c>
      <c r="T51" s="42"/>
      <c r="U51" s="9">
        <f t="shared" si="4"/>
        <v>8</v>
      </c>
      <c r="V51" s="24">
        <f>U51/(2*U14+U51)*100</f>
        <v>100</v>
      </c>
    </row>
    <row r="52" spans="1:22" s="3" customFormat="1" x14ac:dyDescent="0.15">
      <c r="A52" s="13" t="s">
        <v>3</v>
      </c>
      <c r="B52" s="13"/>
      <c r="C52" s="20">
        <v>3</v>
      </c>
      <c r="D52" s="20"/>
      <c r="E52" s="8">
        <v>0</v>
      </c>
      <c r="F52" s="8"/>
      <c r="G52" s="8">
        <v>0</v>
      </c>
      <c r="H52" s="38"/>
      <c r="I52" s="8">
        <v>0</v>
      </c>
      <c r="J52" s="39"/>
      <c r="K52" s="8">
        <v>0</v>
      </c>
      <c r="L52" s="39"/>
      <c r="M52" s="8">
        <v>0</v>
      </c>
      <c r="N52" s="42"/>
      <c r="O52" s="8">
        <v>0</v>
      </c>
      <c r="P52" s="42"/>
      <c r="Q52" s="8">
        <v>0</v>
      </c>
      <c r="R52" s="42"/>
      <c r="S52" s="8">
        <v>0</v>
      </c>
      <c r="T52" s="42"/>
      <c r="U52" s="9">
        <f t="shared" si="4"/>
        <v>3</v>
      </c>
      <c r="V52" s="24">
        <f>U52/(2*U13+U52)*100</f>
        <v>100</v>
      </c>
    </row>
    <row r="53" spans="1:22" s="3" customFormat="1" x14ac:dyDescent="0.15">
      <c r="A53" s="13" t="s">
        <v>8</v>
      </c>
      <c r="B53" s="13"/>
      <c r="C53" s="20">
        <v>0</v>
      </c>
      <c r="D53" s="20"/>
      <c r="E53" s="8">
        <v>0</v>
      </c>
      <c r="F53" s="8"/>
      <c r="G53" s="8">
        <v>0</v>
      </c>
      <c r="H53" s="38"/>
      <c r="I53" s="8">
        <v>0</v>
      </c>
      <c r="J53" s="39"/>
      <c r="K53" s="8">
        <v>0</v>
      </c>
      <c r="L53" s="39"/>
      <c r="M53" s="8">
        <v>0</v>
      </c>
      <c r="N53" s="42"/>
      <c r="O53" s="8">
        <v>1</v>
      </c>
      <c r="P53" s="42"/>
      <c r="Q53" s="8">
        <v>0</v>
      </c>
      <c r="R53" s="42"/>
      <c r="S53" s="8">
        <v>0</v>
      </c>
      <c r="T53" s="42"/>
      <c r="U53" s="9">
        <f t="shared" si="4"/>
        <v>1</v>
      </c>
      <c r="V53" s="24">
        <f>U53/(2*U15+U53)*100</f>
        <v>100</v>
      </c>
    </row>
    <row r="54" spans="1:22" s="3" customFormat="1" x14ac:dyDescent="0.15">
      <c r="A54" s="13" t="s">
        <v>31</v>
      </c>
      <c r="B54" s="13"/>
      <c r="C54" s="20">
        <v>0</v>
      </c>
      <c r="D54" s="20"/>
      <c r="E54" s="8">
        <v>0</v>
      </c>
      <c r="F54" s="8"/>
      <c r="G54" s="8">
        <v>0</v>
      </c>
      <c r="H54" s="38"/>
      <c r="I54" s="8">
        <v>0</v>
      </c>
      <c r="J54" s="39"/>
      <c r="K54" s="8">
        <v>1</v>
      </c>
      <c r="L54" s="39"/>
      <c r="M54" s="8">
        <v>0</v>
      </c>
      <c r="N54" s="42"/>
      <c r="O54" s="8">
        <v>0</v>
      </c>
      <c r="P54" s="42"/>
      <c r="Q54" s="8">
        <v>0</v>
      </c>
      <c r="R54" s="42"/>
      <c r="S54" s="8">
        <v>0</v>
      </c>
      <c r="T54" s="42"/>
      <c r="U54" s="9">
        <f t="shared" si="4"/>
        <v>1</v>
      </c>
      <c r="V54" s="24">
        <f>U54/(2*U16+U54)*100</f>
        <v>100</v>
      </c>
    </row>
    <row r="55" spans="1:22" s="3" customFormat="1" x14ac:dyDescent="0.15">
      <c r="A55" s="19" t="s">
        <v>32</v>
      </c>
      <c r="B55" s="10"/>
      <c r="C55" s="20">
        <v>0</v>
      </c>
      <c r="D55" s="20"/>
      <c r="E55" s="8">
        <v>1</v>
      </c>
      <c r="F55" s="8"/>
      <c r="G55" s="8">
        <v>0</v>
      </c>
      <c r="H55" s="38"/>
      <c r="I55" s="8">
        <v>0</v>
      </c>
      <c r="J55" s="39"/>
      <c r="K55" s="8">
        <v>0</v>
      </c>
      <c r="L55" s="39"/>
      <c r="M55" s="8">
        <v>0</v>
      </c>
      <c r="N55" s="42"/>
      <c r="O55" s="8">
        <v>0</v>
      </c>
      <c r="P55" s="42"/>
      <c r="Q55" s="8">
        <v>0</v>
      </c>
      <c r="R55" s="42"/>
      <c r="S55" s="8">
        <v>0</v>
      </c>
      <c r="T55" s="42"/>
      <c r="U55" s="9">
        <f>SUM(C55:S55)</f>
        <v>1</v>
      </c>
      <c r="V55" s="24">
        <f>U55/(2*U22+U55)*100</f>
        <v>100</v>
      </c>
    </row>
    <row r="56" spans="1:22" s="3" customFormat="1" x14ac:dyDescent="0.15">
      <c r="A56" s="48" t="s">
        <v>19</v>
      </c>
      <c r="B56" s="49"/>
      <c r="C56" s="9">
        <f t="shared" ref="C56:Q56" si="5">SUM(C49:C55)</f>
        <v>14</v>
      </c>
      <c r="D56" s="9"/>
      <c r="E56" s="9">
        <f t="shared" si="5"/>
        <v>6</v>
      </c>
      <c r="F56" s="9"/>
      <c r="G56" s="9">
        <f t="shared" si="5"/>
        <v>2</v>
      </c>
      <c r="H56" s="9"/>
      <c r="I56" s="9">
        <f t="shared" si="5"/>
        <v>0</v>
      </c>
      <c r="J56" s="9"/>
      <c r="K56" s="9">
        <f t="shared" si="5"/>
        <v>2</v>
      </c>
      <c r="L56" s="9"/>
      <c r="M56" s="9">
        <f t="shared" si="5"/>
        <v>4</v>
      </c>
      <c r="N56" s="9"/>
      <c r="O56" s="9">
        <f t="shared" si="5"/>
        <v>4</v>
      </c>
      <c r="P56" s="9"/>
      <c r="Q56" s="9">
        <f t="shared" si="5"/>
        <v>0</v>
      </c>
      <c r="R56" s="9"/>
      <c r="S56" s="9">
        <f>SUM(S49:S55)</f>
        <v>0</v>
      </c>
      <c r="T56" s="9"/>
      <c r="U56" s="9">
        <f t="shared" si="4"/>
        <v>32</v>
      </c>
    </row>
    <row r="57" spans="1:22" ht="14" thickBot="1" x14ac:dyDescent="0.2">
      <c r="A57" s="1"/>
      <c r="B57" s="6"/>
      <c r="C57" s="6"/>
      <c r="D57" s="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7"/>
    </row>
    <row r="58" spans="1:22" x14ac:dyDescent="0.15">
      <c r="A58" s="8"/>
      <c r="B58" s="11"/>
      <c r="E58" s="8"/>
      <c r="F58" s="8"/>
      <c r="G58" s="8"/>
      <c r="H58" s="38"/>
      <c r="I58" s="8"/>
      <c r="J58" s="39"/>
      <c r="K58" s="8"/>
      <c r="L58" s="39"/>
      <c r="M58" s="8"/>
      <c r="N58" s="42"/>
      <c r="O58" s="8"/>
      <c r="P58" s="42"/>
      <c r="Q58" s="8"/>
      <c r="R58" s="42"/>
      <c r="S58" s="8"/>
      <c r="T58" s="42"/>
      <c r="U58" s="9"/>
    </row>
    <row r="59" spans="1:22" x14ac:dyDescent="0.15">
      <c r="U59" s="22"/>
    </row>
    <row r="60" spans="1:22" x14ac:dyDescent="0.15">
      <c r="A60" s="2" t="s">
        <v>34</v>
      </c>
      <c r="C60" s="21" t="s">
        <v>35</v>
      </c>
      <c r="D60" s="21"/>
      <c r="E60" s="21" t="s">
        <v>35</v>
      </c>
      <c r="F60" s="35"/>
      <c r="G60" s="21" t="s">
        <v>35</v>
      </c>
      <c r="H60" s="37"/>
      <c r="I60" s="21" t="s">
        <v>35</v>
      </c>
      <c r="J60" s="40"/>
      <c r="K60" s="21" t="s">
        <v>35</v>
      </c>
      <c r="L60" s="40"/>
      <c r="M60" s="21" t="s">
        <v>35</v>
      </c>
      <c r="N60" s="41"/>
      <c r="O60" s="21" t="s">
        <v>35</v>
      </c>
      <c r="P60" s="41"/>
      <c r="Q60" s="21" t="s">
        <v>35</v>
      </c>
      <c r="R60" s="41"/>
      <c r="S60" s="21" t="s">
        <v>35</v>
      </c>
      <c r="T60" s="41"/>
      <c r="U60" s="2">
        <f>U23+U44</f>
        <v>597</v>
      </c>
    </row>
    <row r="62" spans="1:22" x14ac:dyDescent="0.15">
      <c r="A62" s="2" t="s">
        <v>37</v>
      </c>
    </row>
    <row r="63" spans="1:22" x14ac:dyDescent="0.15">
      <c r="A63" s="2" t="s">
        <v>38</v>
      </c>
    </row>
    <row r="65" spans="1:1" x14ac:dyDescent="0.15">
      <c r="A65" s="10"/>
    </row>
  </sheetData>
  <sortState ref="A29:U43">
    <sortCondition descending="1" ref="U29:U43"/>
  </sortState>
  <mergeCells count="30">
    <mergeCell ref="Q3:R3"/>
    <mergeCell ref="Q4:R4"/>
    <mergeCell ref="Q5:R5"/>
    <mergeCell ref="S3:T3"/>
    <mergeCell ref="S4:T4"/>
    <mergeCell ref="S5:T5"/>
    <mergeCell ref="M3:N3"/>
    <mergeCell ref="M4:N4"/>
    <mergeCell ref="M5:N5"/>
    <mergeCell ref="O3:P3"/>
    <mergeCell ref="O4:P4"/>
    <mergeCell ref="O5:P5"/>
    <mergeCell ref="A56:B56"/>
    <mergeCell ref="C3:D3"/>
    <mergeCell ref="C4:D4"/>
    <mergeCell ref="C5:D5"/>
    <mergeCell ref="G3:H3"/>
    <mergeCell ref="G4:H4"/>
    <mergeCell ref="G5:H5"/>
    <mergeCell ref="E3:F3"/>
    <mergeCell ref="E4:F4"/>
    <mergeCell ref="E5:F5"/>
    <mergeCell ref="A23:B23"/>
    <mergeCell ref="A44:B44"/>
    <mergeCell ref="I3:J3"/>
    <mergeCell ref="I4:J4"/>
    <mergeCell ref="I5:J5"/>
    <mergeCell ref="K3:L3"/>
    <mergeCell ref="K4:L4"/>
    <mergeCell ref="K5:L5"/>
  </mergeCells>
  <phoneticPr fontId="1" type="noConversion"/>
  <pageMargins left="0.75" right="0.75" top="1" bottom="1" header="0.5" footer="0.5"/>
  <pageSetup scale="64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E76F-5B1A-4541-B454-72FD1E1A25F0}">
  <dimension ref="A1:J28"/>
  <sheetViews>
    <sheetView zoomScale="157" workbookViewId="0">
      <selection activeCell="A20" sqref="A20"/>
    </sheetView>
  </sheetViews>
  <sheetFormatPr baseColWidth="10" defaultColWidth="10.33203125" defaultRowHeight="13" x14ac:dyDescent="0.15"/>
  <cols>
    <col min="1" max="1" width="16.5" style="2" bestFit="1" customWidth="1"/>
    <col min="2" max="2" width="22.83203125" style="20" bestFit="1" customWidth="1"/>
    <col min="3" max="4" width="16.83203125" style="2" bestFit="1" customWidth="1"/>
    <col min="5" max="5" width="10.1640625" style="2" customWidth="1"/>
    <col min="6" max="6" width="23" style="2" bestFit="1" customWidth="1"/>
    <col min="7" max="10" width="16.83203125" style="2" bestFit="1" customWidth="1"/>
    <col min="11" max="16384" width="10.33203125" style="2"/>
  </cols>
  <sheetData>
    <row r="1" spans="1:10" ht="14" thickBo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15">
      <c r="A2" s="8"/>
      <c r="C2" s="8"/>
      <c r="D2" s="8"/>
      <c r="E2" s="8"/>
      <c r="F2" s="8"/>
      <c r="G2" s="8"/>
      <c r="H2" s="8"/>
      <c r="I2" s="8"/>
      <c r="J2" s="8"/>
    </row>
    <row r="3" spans="1:10" x14ac:dyDescent="0.15">
      <c r="A3" s="8"/>
      <c r="B3" s="21" t="s">
        <v>25</v>
      </c>
      <c r="C3" s="8" t="s">
        <v>23</v>
      </c>
      <c r="D3" s="8" t="s">
        <v>7</v>
      </c>
      <c r="E3" s="8" t="s">
        <v>14</v>
      </c>
      <c r="F3" s="2" t="s">
        <v>30</v>
      </c>
      <c r="G3" s="8" t="s">
        <v>11</v>
      </c>
      <c r="H3" s="8" t="s">
        <v>10</v>
      </c>
      <c r="I3" s="8" t="s">
        <v>12</v>
      </c>
      <c r="J3" s="8" t="s">
        <v>13</v>
      </c>
    </row>
    <row r="4" spans="1:10" x14ac:dyDescent="0.15">
      <c r="A4" s="8"/>
      <c r="B4" s="21" t="s">
        <v>24</v>
      </c>
      <c r="C4" s="8" t="s">
        <v>9</v>
      </c>
      <c r="D4" s="8" t="s">
        <v>17</v>
      </c>
      <c r="E4" s="8" t="s">
        <v>18</v>
      </c>
      <c r="F4" s="8" t="s">
        <v>29</v>
      </c>
      <c r="G4" s="8" t="s">
        <v>15</v>
      </c>
      <c r="H4" s="8" t="s">
        <v>15</v>
      </c>
      <c r="I4" s="8" t="s">
        <v>15</v>
      </c>
      <c r="J4" s="8" t="s">
        <v>16</v>
      </c>
    </row>
    <row r="5" spans="1:10" x14ac:dyDescent="0.15">
      <c r="A5" s="8"/>
      <c r="B5" s="21" t="s">
        <v>26</v>
      </c>
      <c r="C5" s="17" t="s">
        <v>21</v>
      </c>
      <c r="D5" s="17" t="s">
        <v>21</v>
      </c>
      <c r="E5" s="17">
        <v>2007</v>
      </c>
      <c r="F5" s="8" t="s">
        <v>42</v>
      </c>
      <c r="G5" s="17" t="s">
        <v>22</v>
      </c>
      <c r="H5" s="17" t="s">
        <v>22</v>
      </c>
      <c r="I5" s="17" t="s">
        <v>22</v>
      </c>
      <c r="J5" s="17" t="s">
        <v>22</v>
      </c>
    </row>
    <row r="6" spans="1:10" x14ac:dyDescent="0.15">
      <c r="A6" s="8"/>
      <c r="B6" s="21" t="s">
        <v>44</v>
      </c>
      <c r="C6" s="21" t="s">
        <v>44</v>
      </c>
      <c r="D6" s="21" t="s">
        <v>44</v>
      </c>
      <c r="E6" s="21" t="s">
        <v>44</v>
      </c>
      <c r="F6" s="21" t="s">
        <v>44</v>
      </c>
      <c r="G6" s="21" t="s">
        <v>44</v>
      </c>
      <c r="H6" s="21" t="s">
        <v>44</v>
      </c>
      <c r="I6" s="21" t="s">
        <v>44</v>
      </c>
      <c r="J6" s="21" t="s">
        <v>44</v>
      </c>
    </row>
    <row r="7" spans="1:10" x14ac:dyDescent="0.1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15">
      <c r="A8" s="8"/>
      <c r="C8" s="8"/>
      <c r="D8" s="8"/>
      <c r="E8" s="8"/>
      <c r="F8" s="8"/>
      <c r="G8" s="8"/>
      <c r="H8" s="8"/>
      <c r="I8" s="8"/>
      <c r="J8" s="8"/>
    </row>
    <row r="9" spans="1:10" x14ac:dyDescent="0.15">
      <c r="A9" s="12" t="s">
        <v>20</v>
      </c>
      <c r="C9" s="8"/>
      <c r="D9" s="8"/>
      <c r="E9" s="8"/>
      <c r="F9" s="8"/>
      <c r="G9" s="8"/>
      <c r="H9" s="8"/>
      <c r="I9" s="8"/>
      <c r="J9" s="8"/>
    </row>
    <row r="10" spans="1:10" x14ac:dyDescent="0.15">
      <c r="A10" s="12"/>
      <c r="C10" s="8"/>
      <c r="D10" s="8"/>
      <c r="E10" s="8">
        <v>73.295454545454547</v>
      </c>
      <c r="F10" s="8"/>
      <c r="G10" s="8"/>
      <c r="H10" s="8"/>
      <c r="I10" s="8"/>
      <c r="J10" s="8"/>
    </row>
    <row r="11" spans="1:10" x14ac:dyDescent="0.15">
      <c r="A11" s="13" t="s">
        <v>0</v>
      </c>
      <c r="C11" s="23"/>
      <c r="D11" s="8"/>
      <c r="E11" s="8"/>
      <c r="F11" s="8"/>
      <c r="G11" s="8"/>
      <c r="H11" s="8"/>
      <c r="I11" s="8"/>
      <c r="J11" s="8"/>
    </row>
    <row r="12" spans="1:10" x14ac:dyDescent="0.15">
      <c r="A12" s="13" t="s">
        <v>1</v>
      </c>
      <c r="C12" s="8"/>
      <c r="D12" s="8"/>
      <c r="E12" s="8"/>
      <c r="F12" s="8"/>
      <c r="G12" s="8"/>
      <c r="H12" s="8"/>
      <c r="I12" s="8"/>
      <c r="J12" s="8"/>
    </row>
    <row r="13" spans="1:10" x14ac:dyDescent="0.15">
      <c r="A13" s="13" t="s">
        <v>3</v>
      </c>
      <c r="C13" s="8"/>
      <c r="D13" s="8"/>
      <c r="E13" s="8"/>
      <c r="F13" s="8"/>
      <c r="G13" s="8"/>
      <c r="H13" s="8"/>
      <c r="I13" s="8"/>
      <c r="J13" s="8"/>
    </row>
    <row r="14" spans="1:10" x14ac:dyDescent="0.15">
      <c r="A14" s="13" t="s">
        <v>2</v>
      </c>
      <c r="C14" s="8"/>
      <c r="D14" s="8"/>
      <c r="E14" s="8"/>
      <c r="F14" s="8"/>
      <c r="G14" s="8"/>
      <c r="H14" s="8"/>
      <c r="I14" s="8"/>
      <c r="J14" s="8"/>
    </row>
    <row r="15" spans="1:10" x14ac:dyDescent="0.15">
      <c r="A15" s="13" t="s">
        <v>4</v>
      </c>
      <c r="C15" s="8"/>
      <c r="D15" s="8"/>
      <c r="E15" s="8"/>
      <c r="F15" s="8"/>
      <c r="G15" s="8"/>
      <c r="H15" s="8"/>
      <c r="I15" s="8"/>
      <c r="J15" s="8"/>
    </row>
    <row r="16" spans="1:10" x14ac:dyDescent="0.15">
      <c r="A16" s="13" t="s">
        <v>31</v>
      </c>
      <c r="C16" s="8"/>
      <c r="D16" s="8"/>
      <c r="E16" s="8"/>
      <c r="F16" s="8"/>
      <c r="G16" s="8"/>
      <c r="H16" s="8"/>
      <c r="I16" s="8"/>
      <c r="J16" s="8"/>
    </row>
    <row r="17" spans="1:10" x14ac:dyDescent="0.15">
      <c r="A17" s="13" t="s">
        <v>28</v>
      </c>
      <c r="C17" s="8"/>
      <c r="D17" s="8"/>
      <c r="E17" s="8"/>
      <c r="F17" s="8"/>
      <c r="G17" s="8"/>
      <c r="H17" s="8"/>
      <c r="I17" s="8"/>
      <c r="J17" s="8"/>
    </row>
    <row r="18" spans="1:10" x14ac:dyDescent="0.15">
      <c r="A18" s="13" t="s">
        <v>27</v>
      </c>
      <c r="C18" s="8"/>
      <c r="D18" s="8"/>
      <c r="E18" s="8"/>
      <c r="F18" s="8"/>
      <c r="G18" s="8"/>
      <c r="H18" s="8"/>
      <c r="I18" s="8"/>
      <c r="J18" s="8"/>
    </row>
    <row r="19" spans="1:10" x14ac:dyDescent="0.15">
      <c r="A19" s="13" t="s">
        <v>5</v>
      </c>
      <c r="C19" s="8"/>
      <c r="D19" s="8"/>
      <c r="E19" s="8"/>
      <c r="F19" s="8"/>
      <c r="G19" s="8"/>
      <c r="H19" s="8"/>
      <c r="I19" s="8"/>
      <c r="J19" s="8"/>
    </row>
    <row r="20" spans="1:10" x14ac:dyDescent="0.15">
      <c r="A20" s="13" t="s">
        <v>45</v>
      </c>
      <c r="C20" s="8"/>
      <c r="D20" s="8"/>
      <c r="E20" s="8"/>
      <c r="F20" s="8"/>
      <c r="G20" s="8"/>
      <c r="H20" s="8"/>
      <c r="I20" s="8"/>
      <c r="J20" s="8"/>
    </row>
    <row r="21" spans="1:10" x14ac:dyDescent="0.15">
      <c r="A21" s="26" t="s">
        <v>32</v>
      </c>
      <c r="C21" s="8"/>
      <c r="D21" s="8"/>
      <c r="E21" s="8"/>
      <c r="F21" s="8"/>
      <c r="G21" s="8"/>
      <c r="H21" s="8"/>
      <c r="I21" s="8"/>
      <c r="J21" s="8"/>
    </row>
    <row r="22" spans="1:10" x14ac:dyDescent="0.15">
      <c r="A22" s="13" t="s">
        <v>33</v>
      </c>
      <c r="C22" s="8"/>
      <c r="D22" s="8"/>
      <c r="E22" s="8"/>
      <c r="F22" s="8"/>
      <c r="G22" s="8"/>
      <c r="H22" s="8"/>
      <c r="I22" s="8"/>
      <c r="J22" s="8"/>
    </row>
    <row r="23" spans="1:10" s="3" customFormat="1" x14ac:dyDescent="0.15">
      <c r="A23" s="25" t="s">
        <v>19</v>
      </c>
      <c r="B23" s="9"/>
      <c r="C23" s="9"/>
      <c r="D23" s="9"/>
      <c r="E23" s="9"/>
      <c r="F23" s="9"/>
      <c r="G23" s="9"/>
      <c r="H23" s="9"/>
      <c r="I23" s="9"/>
      <c r="J23" s="9"/>
    </row>
    <row r="24" spans="1:10" x14ac:dyDescent="0.15">
      <c r="A24" s="11"/>
      <c r="C24" s="8"/>
      <c r="D24" s="8"/>
      <c r="E24" s="8"/>
      <c r="F24" s="8"/>
      <c r="G24" s="8"/>
      <c r="H24" s="8"/>
      <c r="I24" s="8"/>
      <c r="J24" s="8"/>
    </row>
    <row r="25" spans="1:10" ht="14" thickBot="1" x14ac:dyDescent="0.2">
      <c r="A25" s="1"/>
      <c r="B25" s="6"/>
      <c r="C25" s="1"/>
      <c r="D25" s="1"/>
      <c r="E25" s="1"/>
      <c r="F25" s="1"/>
      <c r="G25" s="1"/>
      <c r="H25" s="1"/>
      <c r="I25" s="1"/>
      <c r="J25" s="1"/>
    </row>
    <row r="26" spans="1:10" x14ac:dyDescent="0.15">
      <c r="A26" s="8"/>
      <c r="C26" s="8"/>
      <c r="D26" s="8"/>
      <c r="E26" s="8"/>
      <c r="F26" s="8"/>
      <c r="G26" s="8"/>
      <c r="H26" s="8"/>
      <c r="I26" s="8"/>
      <c r="J26" s="8"/>
    </row>
    <row r="28" spans="1:10" x14ac:dyDescent="0.15">
      <c r="A2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Spawnings</vt:lpstr>
      <vt:lpstr>Species_comp</vt:lpstr>
      <vt:lpstr>Spawnings!Print_Area</vt:lpstr>
    </vt:vector>
  </TitlesOfParts>
  <Company>McGill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Puebla</cp:lastModifiedBy>
  <cp:lastPrinted>2010-09-15T14:04:34Z</cp:lastPrinted>
  <dcterms:created xsi:type="dcterms:W3CDTF">2010-07-27T15:18:22Z</dcterms:created>
  <dcterms:modified xsi:type="dcterms:W3CDTF">2026-09-04T09:06:35Z</dcterms:modified>
</cp:coreProperties>
</file>